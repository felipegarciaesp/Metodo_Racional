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https://ausenco.sharepoint.com/sites/tg-santiago-waterresources/Shared Documents/General/Hidrología - Hidráulica/Biblioteca/Repositorio/Planillas/Método Racional/"/>
    </mc:Choice>
  </mc:AlternateContent>
  <xr:revisionPtr revIDLastSave="227" documentId="13_ncr:1_{64EA163B-E3BB-4ED7-8873-B8A9A4A7100E}" xr6:coauthVersionLast="47" xr6:coauthVersionMax="47" xr10:uidLastSave="{BDE3A252-B3C2-4098-81D7-C59C310B8293}"/>
  <bookViews>
    <workbookView xWindow="-28920" yWindow="-120" windowWidth="29040" windowHeight="15720" xr2:uid="{00000000-000D-0000-FFFF-FFFF00000000}"/>
  </bookViews>
  <sheets>
    <sheet name="Calculo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8" i="1" l="1"/>
  <c r="C99" i="1" s="1"/>
  <c r="C113" i="1"/>
  <c r="C71" i="1"/>
  <c r="C85" i="1"/>
  <c r="C22" i="1" l="1"/>
  <c r="C155" i="1"/>
  <c r="C42" i="1"/>
  <c r="J31" i="1"/>
  <c r="D31" i="1"/>
  <c r="C31" i="1"/>
  <c r="E31" i="1"/>
  <c r="F31" i="1"/>
  <c r="G31" i="1"/>
  <c r="H31" i="1"/>
  <c r="I31" i="1"/>
  <c r="K31" i="1"/>
  <c r="L31" i="1"/>
  <c r="M31" i="1"/>
  <c r="N31" i="1"/>
  <c r="O31" i="1"/>
  <c r="D182" i="1"/>
  <c r="E182" i="1"/>
  <c r="F182" i="1"/>
  <c r="G182" i="1"/>
  <c r="H182" i="1"/>
  <c r="I182" i="1"/>
  <c r="J182" i="1"/>
  <c r="K182" i="1"/>
  <c r="L182" i="1"/>
  <c r="M182" i="1"/>
  <c r="N182" i="1"/>
  <c r="O182" i="1"/>
  <c r="C182" i="1"/>
  <c r="C168" i="1"/>
  <c r="B184" i="1"/>
  <c r="B185" i="1"/>
  <c r="B186" i="1"/>
  <c r="B187" i="1"/>
  <c r="B188" i="1"/>
  <c r="B189" i="1"/>
  <c r="B190" i="1"/>
  <c r="B191" i="1"/>
  <c r="B192" i="1"/>
  <c r="B183" i="1"/>
  <c r="B169" i="1"/>
  <c r="D168" i="1"/>
  <c r="E168" i="1"/>
  <c r="F168" i="1"/>
  <c r="G168" i="1"/>
  <c r="H168" i="1"/>
  <c r="I168" i="1"/>
  <c r="J168" i="1"/>
  <c r="K168" i="1"/>
  <c r="L168" i="1"/>
  <c r="M168" i="1"/>
  <c r="N168" i="1"/>
  <c r="O168" i="1"/>
  <c r="C154" i="1"/>
  <c r="B178" i="1"/>
  <c r="B170" i="1"/>
  <c r="B171" i="1"/>
  <c r="B172" i="1"/>
  <c r="B173" i="1"/>
  <c r="B174" i="1"/>
  <c r="B175" i="1"/>
  <c r="B176" i="1"/>
  <c r="B177" i="1"/>
  <c r="B155" i="1"/>
  <c r="B164" i="1"/>
  <c r="B156" i="1"/>
  <c r="B157" i="1"/>
  <c r="B158" i="1"/>
  <c r="B159" i="1"/>
  <c r="B160" i="1"/>
  <c r="B161" i="1"/>
  <c r="B162" i="1"/>
  <c r="B163" i="1"/>
  <c r="B141" i="1"/>
  <c r="D154" i="1"/>
  <c r="E154" i="1"/>
  <c r="F154" i="1"/>
  <c r="G154" i="1"/>
  <c r="H154" i="1"/>
  <c r="I154" i="1"/>
  <c r="J154" i="1"/>
  <c r="K154" i="1"/>
  <c r="L154" i="1"/>
  <c r="M154" i="1"/>
  <c r="N154" i="1"/>
  <c r="O154" i="1"/>
  <c r="C140" i="1"/>
  <c r="B150" i="1"/>
  <c r="B142" i="1"/>
  <c r="B143" i="1"/>
  <c r="B144" i="1"/>
  <c r="B145" i="1"/>
  <c r="B146" i="1"/>
  <c r="B147" i="1"/>
  <c r="B148" i="1"/>
  <c r="B149" i="1"/>
  <c r="B127" i="1"/>
  <c r="D140" i="1"/>
  <c r="E140" i="1"/>
  <c r="F140" i="1"/>
  <c r="G140" i="1"/>
  <c r="H140" i="1"/>
  <c r="I140" i="1"/>
  <c r="J140" i="1"/>
  <c r="K140" i="1"/>
  <c r="L140" i="1"/>
  <c r="M140" i="1"/>
  <c r="N140" i="1"/>
  <c r="O140" i="1"/>
  <c r="C126" i="1"/>
  <c r="B128" i="1"/>
  <c r="B129" i="1"/>
  <c r="B130" i="1"/>
  <c r="B131" i="1"/>
  <c r="B132" i="1"/>
  <c r="B133" i="1"/>
  <c r="B134" i="1"/>
  <c r="B135" i="1"/>
  <c r="B136" i="1"/>
  <c r="B113" i="1"/>
  <c r="D126" i="1"/>
  <c r="E126" i="1"/>
  <c r="F126" i="1"/>
  <c r="G126" i="1"/>
  <c r="H126" i="1"/>
  <c r="I126" i="1"/>
  <c r="J126" i="1"/>
  <c r="K126" i="1"/>
  <c r="L126" i="1"/>
  <c r="M126" i="1"/>
  <c r="N126" i="1"/>
  <c r="O126" i="1"/>
  <c r="C112" i="1"/>
  <c r="D112" i="1"/>
  <c r="E112" i="1"/>
  <c r="F112" i="1"/>
  <c r="G112" i="1"/>
  <c r="H112" i="1"/>
  <c r="I112" i="1"/>
  <c r="J112" i="1"/>
  <c r="K112" i="1"/>
  <c r="L112" i="1"/>
  <c r="M112" i="1"/>
  <c r="N112" i="1"/>
  <c r="O112" i="1"/>
  <c r="C98" i="1"/>
  <c r="B114" i="1"/>
  <c r="B115" i="1"/>
  <c r="B116" i="1"/>
  <c r="B117" i="1"/>
  <c r="B118" i="1"/>
  <c r="B119" i="1"/>
  <c r="B120" i="1"/>
  <c r="B121" i="1"/>
  <c r="B122" i="1"/>
  <c r="B99" i="1"/>
  <c r="E38" i="1"/>
  <c r="B108" i="1"/>
  <c r="B100" i="1"/>
  <c r="B101" i="1"/>
  <c r="B102" i="1"/>
  <c r="B103" i="1"/>
  <c r="B104" i="1"/>
  <c r="B105" i="1"/>
  <c r="B106" i="1"/>
  <c r="B107" i="1"/>
  <c r="B85" i="1"/>
  <c r="D98" i="1"/>
  <c r="E98" i="1"/>
  <c r="F98" i="1"/>
  <c r="G98" i="1"/>
  <c r="H98" i="1"/>
  <c r="I98" i="1"/>
  <c r="J98" i="1"/>
  <c r="K98" i="1"/>
  <c r="L98" i="1"/>
  <c r="M98" i="1"/>
  <c r="N98" i="1"/>
  <c r="O98" i="1"/>
  <c r="C84" i="1"/>
  <c r="E85" i="1"/>
  <c r="F85" i="1"/>
  <c r="G85" i="1"/>
  <c r="H85" i="1"/>
  <c r="I85" i="1"/>
  <c r="J85" i="1"/>
  <c r="K85" i="1"/>
  <c r="L85" i="1"/>
  <c r="M85" i="1"/>
  <c r="N85" i="1"/>
  <c r="O85" i="1"/>
  <c r="E86" i="1"/>
  <c r="F86" i="1"/>
  <c r="G86" i="1"/>
  <c r="H86" i="1"/>
  <c r="I86" i="1"/>
  <c r="J86" i="1"/>
  <c r="K86" i="1"/>
  <c r="L86" i="1"/>
  <c r="M86" i="1"/>
  <c r="N86" i="1"/>
  <c r="O86" i="1"/>
  <c r="E87" i="1"/>
  <c r="F87" i="1"/>
  <c r="G87" i="1"/>
  <c r="H87" i="1"/>
  <c r="I87" i="1"/>
  <c r="J87" i="1"/>
  <c r="K87" i="1"/>
  <c r="L87" i="1"/>
  <c r="M87" i="1"/>
  <c r="N87" i="1"/>
  <c r="O87" i="1"/>
  <c r="E88" i="1"/>
  <c r="F88" i="1"/>
  <c r="G88" i="1"/>
  <c r="H88" i="1"/>
  <c r="I88" i="1"/>
  <c r="J88" i="1"/>
  <c r="K88" i="1"/>
  <c r="L88" i="1"/>
  <c r="M88" i="1"/>
  <c r="N88" i="1"/>
  <c r="O88" i="1"/>
  <c r="E89" i="1"/>
  <c r="F89" i="1"/>
  <c r="G89" i="1"/>
  <c r="H89" i="1"/>
  <c r="I89" i="1"/>
  <c r="J89" i="1"/>
  <c r="K89" i="1"/>
  <c r="L89" i="1"/>
  <c r="M89" i="1"/>
  <c r="N89" i="1"/>
  <c r="O89" i="1"/>
  <c r="E90" i="1"/>
  <c r="F90" i="1"/>
  <c r="G90" i="1"/>
  <c r="H90" i="1"/>
  <c r="I90" i="1"/>
  <c r="J90" i="1"/>
  <c r="K90" i="1"/>
  <c r="L90" i="1"/>
  <c r="M90" i="1"/>
  <c r="N90" i="1"/>
  <c r="O90" i="1"/>
  <c r="E91" i="1"/>
  <c r="F91" i="1"/>
  <c r="G91" i="1"/>
  <c r="H91" i="1"/>
  <c r="I91" i="1"/>
  <c r="J91" i="1"/>
  <c r="K91" i="1"/>
  <c r="L91" i="1"/>
  <c r="M91" i="1"/>
  <c r="N91" i="1"/>
  <c r="O91" i="1"/>
  <c r="E92" i="1"/>
  <c r="F92" i="1"/>
  <c r="G92" i="1"/>
  <c r="H92" i="1"/>
  <c r="I92" i="1"/>
  <c r="J92" i="1"/>
  <c r="K92" i="1"/>
  <c r="L92" i="1"/>
  <c r="M92" i="1"/>
  <c r="N92" i="1"/>
  <c r="O92" i="1"/>
  <c r="E93" i="1"/>
  <c r="F93" i="1"/>
  <c r="G93" i="1"/>
  <c r="H93" i="1"/>
  <c r="I93" i="1"/>
  <c r="J93" i="1"/>
  <c r="K93" i="1"/>
  <c r="L93" i="1"/>
  <c r="M93" i="1"/>
  <c r="N93" i="1"/>
  <c r="O93" i="1"/>
  <c r="E94" i="1"/>
  <c r="F94" i="1"/>
  <c r="G94" i="1"/>
  <c r="H94" i="1"/>
  <c r="I94" i="1"/>
  <c r="J94" i="1"/>
  <c r="K94" i="1"/>
  <c r="L94" i="1"/>
  <c r="M94" i="1"/>
  <c r="N94" i="1"/>
  <c r="O94" i="1"/>
  <c r="D87" i="1"/>
  <c r="D86" i="1"/>
  <c r="D88" i="1"/>
  <c r="D89" i="1"/>
  <c r="D90" i="1"/>
  <c r="D91" i="1"/>
  <c r="D92" i="1"/>
  <c r="D93" i="1"/>
  <c r="D94" i="1"/>
  <c r="D85" i="1"/>
  <c r="C93" i="1"/>
  <c r="C87" i="1"/>
  <c r="C88" i="1"/>
  <c r="C89" i="1"/>
  <c r="C90" i="1"/>
  <c r="C91" i="1"/>
  <c r="C92" i="1"/>
  <c r="C94" i="1"/>
  <c r="C86" i="1"/>
  <c r="B86" i="1"/>
  <c r="B87" i="1"/>
  <c r="B88" i="1"/>
  <c r="B89" i="1"/>
  <c r="B90" i="1"/>
  <c r="B91" i="1"/>
  <c r="B92" i="1"/>
  <c r="B93" i="1"/>
  <c r="B94" i="1"/>
  <c r="D84" i="1"/>
  <c r="E84" i="1"/>
  <c r="F84" i="1"/>
  <c r="G84" i="1"/>
  <c r="H84" i="1"/>
  <c r="I84" i="1"/>
  <c r="J84" i="1"/>
  <c r="K84" i="1"/>
  <c r="L84" i="1"/>
  <c r="M84" i="1"/>
  <c r="N84" i="1"/>
  <c r="O84" i="1"/>
  <c r="C70" i="1"/>
  <c r="F73" i="1"/>
  <c r="F115" i="1" s="1"/>
  <c r="D77" i="1"/>
  <c r="D119" i="1" s="1"/>
  <c r="M77" i="1"/>
  <c r="M119" i="1" s="1"/>
  <c r="D71" i="1"/>
  <c r="D113" i="1" s="1"/>
  <c r="E71" i="1"/>
  <c r="E113" i="1" s="1"/>
  <c r="F71" i="1"/>
  <c r="F113" i="1" s="1"/>
  <c r="G71" i="1"/>
  <c r="G113" i="1" s="1"/>
  <c r="H71" i="1"/>
  <c r="H113" i="1" s="1"/>
  <c r="I71" i="1"/>
  <c r="I113" i="1" s="1"/>
  <c r="J71" i="1"/>
  <c r="J113" i="1" s="1"/>
  <c r="K71" i="1"/>
  <c r="K113" i="1" s="1"/>
  <c r="L71" i="1"/>
  <c r="L113" i="1" s="1"/>
  <c r="M71" i="1"/>
  <c r="M113" i="1" s="1"/>
  <c r="N71" i="1"/>
  <c r="N113" i="1" s="1"/>
  <c r="O71" i="1"/>
  <c r="O113" i="1" s="1"/>
  <c r="D72" i="1"/>
  <c r="D114" i="1" s="1"/>
  <c r="E72" i="1"/>
  <c r="E114" i="1" s="1"/>
  <c r="F72" i="1"/>
  <c r="F114" i="1" s="1"/>
  <c r="G72" i="1"/>
  <c r="G114" i="1" s="1"/>
  <c r="H72" i="1"/>
  <c r="H114" i="1" s="1"/>
  <c r="I72" i="1"/>
  <c r="I114" i="1" s="1"/>
  <c r="J72" i="1"/>
  <c r="J114" i="1" s="1"/>
  <c r="K72" i="1"/>
  <c r="K114" i="1" s="1"/>
  <c r="L72" i="1"/>
  <c r="L114" i="1" s="1"/>
  <c r="M72" i="1"/>
  <c r="M114" i="1" s="1"/>
  <c r="N72" i="1"/>
  <c r="N114" i="1" s="1"/>
  <c r="O72" i="1"/>
  <c r="O114" i="1" s="1"/>
  <c r="D73" i="1"/>
  <c r="D115" i="1" s="1"/>
  <c r="E73" i="1"/>
  <c r="E115" i="1" s="1"/>
  <c r="G73" i="1"/>
  <c r="G115" i="1" s="1"/>
  <c r="H73" i="1"/>
  <c r="H115" i="1" s="1"/>
  <c r="I73" i="1"/>
  <c r="I115" i="1" s="1"/>
  <c r="J73" i="1"/>
  <c r="J115" i="1" s="1"/>
  <c r="K73" i="1"/>
  <c r="K115" i="1" s="1"/>
  <c r="L73" i="1"/>
  <c r="L115" i="1" s="1"/>
  <c r="M73" i="1"/>
  <c r="M115" i="1" s="1"/>
  <c r="N73" i="1"/>
  <c r="N115" i="1" s="1"/>
  <c r="O73" i="1"/>
  <c r="O115" i="1" s="1"/>
  <c r="D74" i="1"/>
  <c r="D116" i="1" s="1"/>
  <c r="E74" i="1"/>
  <c r="E116" i="1" s="1"/>
  <c r="F74" i="1"/>
  <c r="F116" i="1" s="1"/>
  <c r="G74" i="1"/>
  <c r="G116" i="1" s="1"/>
  <c r="H74" i="1"/>
  <c r="H116" i="1" s="1"/>
  <c r="I74" i="1"/>
  <c r="I116" i="1" s="1"/>
  <c r="J74" i="1"/>
  <c r="J116" i="1" s="1"/>
  <c r="K74" i="1"/>
  <c r="K116" i="1" s="1"/>
  <c r="L74" i="1"/>
  <c r="L116" i="1" s="1"/>
  <c r="M74" i="1"/>
  <c r="M116" i="1" s="1"/>
  <c r="N74" i="1"/>
  <c r="N116" i="1" s="1"/>
  <c r="O74" i="1"/>
  <c r="O116" i="1" s="1"/>
  <c r="D75" i="1"/>
  <c r="D117" i="1" s="1"/>
  <c r="E75" i="1"/>
  <c r="E117" i="1" s="1"/>
  <c r="F75" i="1"/>
  <c r="F117" i="1" s="1"/>
  <c r="G75" i="1"/>
  <c r="G117" i="1" s="1"/>
  <c r="H75" i="1"/>
  <c r="H117" i="1" s="1"/>
  <c r="I75" i="1"/>
  <c r="I117" i="1" s="1"/>
  <c r="J75" i="1"/>
  <c r="J117" i="1" s="1"/>
  <c r="K75" i="1"/>
  <c r="K117" i="1" s="1"/>
  <c r="L75" i="1"/>
  <c r="L117" i="1" s="1"/>
  <c r="M75" i="1"/>
  <c r="M117" i="1" s="1"/>
  <c r="N75" i="1"/>
  <c r="N117" i="1" s="1"/>
  <c r="O75" i="1"/>
  <c r="O117" i="1" s="1"/>
  <c r="D76" i="1"/>
  <c r="D118" i="1" s="1"/>
  <c r="E76" i="1"/>
  <c r="E118" i="1" s="1"/>
  <c r="F76" i="1"/>
  <c r="F118" i="1" s="1"/>
  <c r="G76" i="1"/>
  <c r="G118" i="1" s="1"/>
  <c r="H76" i="1"/>
  <c r="H118" i="1" s="1"/>
  <c r="I76" i="1"/>
  <c r="I118" i="1" s="1"/>
  <c r="J76" i="1"/>
  <c r="J118" i="1" s="1"/>
  <c r="K76" i="1"/>
  <c r="K118" i="1" s="1"/>
  <c r="L76" i="1"/>
  <c r="L118" i="1" s="1"/>
  <c r="M76" i="1"/>
  <c r="M118" i="1" s="1"/>
  <c r="N76" i="1"/>
  <c r="N118" i="1" s="1"/>
  <c r="O76" i="1"/>
  <c r="O118" i="1" s="1"/>
  <c r="E77" i="1"/>
  <c r="E119" i="1" s="1"/>
  <c r="F77" i="1"/>
  <c r="F119" i="1" s="1"/>
  <c r="G77" i="1"/>
  <c r="G119" i="1" s="1"/>
  <c r="H77" i="1"/>
  <c r="H119" i="1" s="1"/>
  <c r="I77" i="1"/>
  <c r="I119" i="1" s="1"/>
  <c r="J77" i="1"/>
  <c r="J119" i="1" s="1"/>
  <c r="K77" i="1"/>
  <c r="K119" i="1" s="1"/>
  <c r="L77" i="1"/>
  <c r="L119" i="1" s="1"/>
  <c r="N77" i="1"/>
  <c r="N119" i="1" s="1"/>
  <c r="O77" i="1"/>
  <c r="O119" i="1" s="1"/>
  <c r="D78" i="1"/>
  <c r="D120" i="1" s="1"/>
  <c r="E78" i="1"/>
  <c r="E120" i="1" s="1"/>
  <c r="F78" i="1"/>
  <c r="F120" i="1" s="1"/>
  <c r="G78" i="1"/>
  <c r="G120" i="1" s="1"/>
  <c r="H78" i="1"/>
  <c r="H120" i="1" s="1"/>
  <c r="I78" i="1"/>
  <c r="I120" i="1" s="1"/>
  <c r="J78" i="1"/>
  <c r="J120" i="1" s="1"/>
  <c r="K78" i="1"/>
  <c r="K120" i="1" s="1"/>
  <c r="L78" i="1"/>
  <c r="L120" i="1" s="1"/>
  <c r="M78" i="1"/>
  <c r="M120" i="1" s="1"/>
  <c r="N78" i="1"/>
  <c r="N120" i="1" s="1"/>
  <c r="O78" i="1"/>
  <c r="O120" i="1" s="1"/>
  <c r="D79" i="1"/>
  <c r="D121" i="1" s="1"/>
  <c r="E79" i="1"/>
  <c r="E121" i="1" s="1"/>
  <c r="F79" i="1"/>
  <c r="F121" i="1" s="1"/>
  <c r="G79" i="1"/>
  <c r="G121" i="1" s="1"/>
  <c r="H79" i="1"/>
  <c r="H121" i="1" s="1"/>
  <c r="I79" i="1"/>
  <c r="I121" i="1" s="1"/>
  <c r="J79" i="1"/>
  <c r="J121" i="1" s="1"/>
  <c r="K79" i="1"/>
  <c r="K121" i="1" s="1"/>
  <c r="L79" i="1"/>
  <c r="L121" i="1" s="1"/>
  <c r="M79" i="1"/>
  <c r="M121" i="1" s="1"/>
  <c r="N79" i="1"/>
  <c r="N121" i="1" s="1"/>
  <c r="O79" i="1"/>
  <c r="O121" i="1" s="1"/>
  <c r="D80" i="1"/>
  <c r="D122" i="1" s="1"/>
  <c r="E80" i="1"/>
  <c r="E122" i="1" s="1"/>
  <c r="F80" i="1"/>
  <c r="F122" i="1" s="1"/>
  <c r="G80" i="1"/>
  <c r="G122" i="1" s="1"/>
  <c r="H80" i="1"/>
  <c r="H122" i="1" s="1"/>
  <c r="I80" i="1"/>
  <c r="I122" i="1" s="1"/>
  <c r="J80" i="1"/>
  <c r="J122" i="1" s="1"/>
  <c r="K80" i="1"/>
  <c r="K122" i="1" s="1"/>
  <c r="L80" i="1"/>
  <c r="L122" i="1" s="1"/>
  <c r="M80" i="1"/>
  <c r="M122" i="1" s="1"/>
  <c r="N80" i="1"/>
  <c r="N122" i="1" s="1"/>
  <c r="O80" i="1"/>
  <c r="O122" i="1" s="1"/>
  <c r="C72" i="1"/>
  <c r="C114" i="1" s="1"/>
  <c r="C73" i="1"/>
  <c r="C115" i="1" s="1"/>
  <c r="C74" i="1"/>
  <c r="C116" i="1" s="1"/>
  <c r="C75" i="1"/>
  <c r="C117" i="1" s="1"/>
  <c r="C76" i="1"/>
  <c r="C118" i="1" s="1"/>
  <c r="C77" i="1"/>
  <c r="C119" i="1" s="1"/>
  <c r="C78" i="1"/>
  <c r="C120" i="1" s="1"/>
  <c r="C79" i="1"/>
  <c r="C121" i="1" s="1"/>
  <c r="C80" i="1"/>
  <c r="C122" i="1" s="1"/>
  <c r="D70" i="1"/>
  <c r="E70" i="1"/>
  <c r="F70" i="1"/>
  <c r="G70" i="1"/>
  <c r="H70" i="1"/>
  <c r="I70" i="1"/>
  <c r="J70" i="1"/>
  <c r="K70" i="1"/>
  <c r="L70" i="1"/>
  <c r="M70" i="1"/>
  <c r="N70" i="1"/>
  <c r="O70" i="1"/>
  <c r="B72" i="1"/>
  <c r="B73" i="1"/>
  <c r="B74" i="1"/>
  <c r="B75" i="1"/>
  <c r="B76" i="1"/>
  <c r="B77" i="1"/>
  <c r="B78" i="1"/>
  <c r="B79" i="1"/>
  <c r="B80" i="1"/>
  <c r="B71" i="1"/>
  <c r="F37" i="1"/>
  <c r="C37" i="1"/>
  <c r="B66" i="1"/>
  <c r="B59" i="1"/>
  <c r="B58" i="1"/>
  <c r="B57" i="1"/>
  <c r="B60" i="1"/>
  <c r="B61" i="1"/>
  <c r="B62" i="1"/>
  <c r="B63" i="1"/>
  <c r="B64" i="1"/>
  <c r="B65" i="1"/>
  <c r="D42" i="1"/>
  <c r="E42" i="1"/>
  <c r="F42" i="1"/>
  <c r="G42" i="1"/>
  <c r="H42" i="1"/>
  <c r="I42" i="1"/>
  <c r="J42" i="1"/>
  <c r="K42" i="1"/>
  <c r="L42" i="1"/>
  <c r="M42" i="1"/>
  <c r="N42" i="1"/>
  <c r="O42" i="1"/>
  <c r="D38" i="1"/>
  <c r="F38" i="1"/>
  <c r="G38" i="1"/>
  <c r="H38" i="1"/>
  <c r="I38" i="1"/>
  <c r="J38" i="1"/>
  <c r="K38" i="1"/>
  <c r="L38" i="1"/>
  <c r="M38" i="1"/>
  <c r="N38" i="1"/>
  <c r="O38" i="1"/>
  <c r="O37" i="1"/>
  <c r="N37" i="1"/>
  <c r="M37" i="1"/>
  <c r="L37" i="1"/>
  <c r="K37" i="1"/>
  <c r="J37" i="1"/>
  <c r="I37" i="1"/>
  <c r="H37" i="1"/>
  <c r="G37" i="1"/>
  <c r="E37" i="1"/>
  <c r="D37" i="1"/>
  <c r="D22" i="1"/>
  <c r="E22" i="1"/>
  <c r="F22" i="1"/>
  <c r="G22" i="1"/>
  <c r="H22" i="1"/>
  <c r="I22" i="1"/>
  <c r="J22" i="1"/>
  <c r="K22" i="1"/>
  <c r="L22" i="1"/>
  <c r="M22" i="1"/>
  <c r="N22" i="1"/>
  <c r="O22" i="1"/>
  <c r="D21" i="1"/>
  <c r="C21" i="1"/>
  <c r="D20" i="1"/>
  <c r="D24" i="1" s="1"/>
  <c r="C20" i="1"/>
  <c r="D19" i="1"/>
  <c r="E19" i="1"/>
  <c r="F19" i="1"/>
  <c r="G19" i="1"/>
  <c r="H19" i="1"/>
  <c r="I19" i="1"/>
  <c r="J19" i="1"/>
  <c r="K19" i="1"/>
  <c r="L19" i="1"/>
  <c r="M19" i="1"/>
  <c r="N19" i="1"/>
  <c r="O19" i="1"/>
  <c r="C19" i="1"/>
  <c r="O18" i="1"/>
  <c r="N18" i="1"/>
  <c r="M18" i="1"/>
  <c r="L18" i="1"/>
  <c r="K18" i="1"/>
  <c r="J18" i="1"/>
  <c r="I18" i="1"/>
  <c r="H18" i="1"/>
  <c r="G18" i="1"/>
  <c r="F18" i="1"/>
  <c r="E18" i="1"/>
  <c r="D18" i="1"/>
  <c r="C18" i="1"/>
  <c r="F161" i="1" l="1"/>
  <c r="F155" i="1"/>
  <c r="F164" i="1"/>
  <c r="F156" i="1"/>
  <c r="F157" i="1"/>
  <c r="F158" i="1"/>
  <c r="F160" i="1"/>
  <c r="F163" i="1"/>
  <c r="F162" i="1"/>
  <c r="F159" i="1"/>
  <c r="C161" i="1"/>
  <c r="C156" i="1"/>
  <c r="C159" i="1"/>
  <c r="C164" i="1"/>
  <c r="C158" i="1"/>
  <c r="C157" i="1"/>
  <c r="C160" i="1"/>
  <c r="C162" i="1"/>
  <c r="C163" i="1"/>
  <c r="O155" i="1"/>
  <c r="O163" i="1"/>
  <c r="O160" i="1"/>
  <c r="O157" i="1"/>
  <c r="O156" i="1"/>
  <c r="O164" i="1"/>
  <c r="O162" i="1"/>
  <c r="O159" i="1"/>
  <c r="O158" i="1"/>
  <c r="O161" i="1"/>
  <c r="N159" i="1"/>
  <c r="N155" i="1"/>
  <c r="N156" i="1"/>
  <c r="N162" i="1"/>
  <c r="N161" i="1"/>
  <c r="N164" i="1"/>
  <c r="N158" i="1"/>
  <c r="N160" i="1"/>
  <c r="N157" i="1"/>
  <c r="N163" i="1"/>
  <c r="M160" i="1"/>
  <c r="M162" i="1"/>
  <c r="M164" i="1"/>
  <c r="M161" i="1"/>
  <c r="M158" i="1"/>
  <c r="M155" i="1"/>
  <c r="M159" i="1"/>
  <c r="M157" i="1"/>
  <c r="M156" i="1"/>
  <c r="M163" i="1"/>
  <c r="L161" i="1"/>
  <c r="L160" i="1"/>
  <c r="L162" i="1"/>
  <c r="L163" i="1"/>
  <c r="L164" i="1"/>
  <c r="L155" i="1"/>
  <c r="L156" i="1"/>
  <c r="L157" i="1"/>
  <c r="L158" i="1"/>
  <c r="L159" i="1"/>
  <c r="K157" i="1"/>
  <c r="K162" i="1"/>
  <c r="K163" i="1"/>
  <c r="K158" i="1"/>
  <c r="K160" i="1"/>
  <c r="K161" i="1"/>
  <c r="K164" i="1"/>
  <c r="K159" i="1"/>
  <c r="K155" i="1"/>
  <c r="K156" i="1"/>
  <c r="J160" i="1"/>
  <c r="J156" i="1"/>
  <c r="J159" i="1"/>
  <c r="J158" i="1"/>
  <c r="J161" i="1"/>
  <c r="J162" i="1"/>
  <c r="J157" i="1"/>
  <c r="J163" i="1"/>
  <c r="J155" i="1"/>
  <c r="J164" i="1"/>
  <c r="I155" i="1"/>
  <c r="I163" i="1"/>
  <c r="I161" i="1"/>
  <c r="I164" i="1"/>
  <c r="I159" i="1"/>
  <c r="I158" i="1"/>
  <c r="I162" i="1"/>
  <c r="I160" i="1"/>
  <c r="I157" i="1"/>
  <c r="I156" i="1"/>
  <c r="H160" i="1"/>
  <c r="H155" i="1"/>
  <c r="H158" i="1"/>
  <c r="H161" i="1"/>
  <c r="H159" i="1"/>
  <c r="H164" i="1"/>
  <c r="H163" i="1"/>
  <c r="H162" i="1"/>
  <c r="H157" i="1"/>
  <c r="H156" i="1"/>
  <c r="G160" i="1"/>
  <c r="G161" i="1"/>
  <c r="G162" i="1"/>
  <c r="G157" i="1"/>
  <c r="G158" i="1"/>
  <c r="G163" i="1"/>
  <c r="G156" i="1"/>
  <c r="G164" i="1"/>
  <c r="G159" i="1"/>
  <c r="G155" i="1"/>
  <c r="D161" i="1"/>
  <c r="D157" i="1"/>
  <c r="D158" i="1"/>
  <c r="D155" i="1"/>
  <c r="D160" i="1"/>
  <c r="D164" i="1"/>
  <c r="D156" i="1"/>
  <c r="D162" i="1"/>
  <c r="D163" i="1"/>
  <c r="D159" i="1"/>
  <c r="C108" i="1"/>
  <c r="C136" i="1" s="1"/>
  <c r="C150" i="1" s="1"/>
  <c r="C178" i="1" s="1"/>
  <c r="C192" i="1" s="1"/>
  <c r="C102" i="1"/>
  <c r="C130" i="1" s="1"/>
  <c r="C144" i="1" s="1"/>
  <c r="C172" i="1" s="1"/>
  <c r="C186" i="1" s="1"/>
  <c r="C103" i="1"/>
  <c r="C131" i="1" s="1"/>
  <c r="C145" i="1" s="1"/>
  <c r="C173" i="1" s="1"/>
  <c r="C187" i="1" s="1"/>
  <c r="C107" i="1"/>
  <c r="C135" i="1" s="1"/>
  <c r="C149" i="1" s="1"/>
  <c r="C177" i="1" s="1"/>
  <c r="C191" i="1" s="1"/>
  <c r="C104" i="1"/>
  <c r="C132" i="1" s="1"/>
  <c r="C146" i="1" s="1"/>
  <c r="C127" i="1"/>
  <c r="C105" i="1"/>
  <c r="C133" i="1" s="1"/>
  <c r="C147" i="1" s="1"/>
  <c r="C106" i="1"/>
  <c r="C134" i="1" s="1"/>
  <c r="C148" i="1" s="1"/>
  <c r="C100" i="1"/>
  <c r="C128" i="1" s="1"/>
  <c r="C142" i="1" s="1"/>
  <c r="C101" i="1"/>
  <c r="C129" i="1" s="1"/>
  <c r="C143" i="1" s="1"/>
  <c r="F99" i="1"/>
  <c r="F127" i="1" s="1"/>
  <c r="F141" i="1" s="1"/>
  <c r="F101" i="1"/>
  <c r="F129" i="1" s="1"/>
  <c r="F143" i="1" s="1"/>
  <c r="F102" i="1"/>
  <c r="F130" i="1" s="1"/>
  <c r="F144" i="1" s="1"/>
  <c r="F103" i="1"/>
  <c r="F131" i="1" s="1"/>
  <c r="F145" i="1" s="1"/>
  <c r="F108" i="1"/>
  <c r="F136" i="1" s="1"/>
  <c r="F150" i="1" s="1"/>
  <c r="F105" i="1"/>
  <c r="F133" i="1" s="1"/>
  <c r="F147" i="1" s="1"/>
  <c r="F107" i="1"/>
  <c r="F135" i="1" s="1"/>
  <c r="F149" i="1" s="1"/>
  <c r="F100" i="1"/>
  <c r="F128" i="1" s="1"/>
  <c r="F142" i="1" s="1"/>
  <c r="F106" i="1"/>
  <c r="F134" i="1" s="1"/>
  <c r="F148" i="1" s="1"/>
  <c r="F104" i="1"/>
  <c r="F132" i="1" s="1"/>
  <c r="F146" i="1" s="1"/>
  <c r="G99" i="1"/>
  <c r="G127" i="1" s="1"/>
  <c r="G141" i="1" s="1"/>
  <c r="G103" i="1"/>
  <c r="G131" i="1" s="1"/>
  <c r="G145" i="1" s="1"/>
  <c r="G104" i="1"/>
  <c r="G132" i="1" s="1"/>
  <c r="G146" i="1" s="1"/>
  <c r="G105" i="1"/>
  <c r="G133" i="1" s="1"/>
  <c r="G147" i="1" s="1"/>
  <c r="G100" i="1"/>
  <c r="G128" i="1" s="1"/>
  <c r="G142" i="1" s="1"/>
  <c r="G106" i="1"/>
  <c r="G134" i="1" s="1"/>
  <c r="G148" i="1" s="1"/>
  <c r="G101" i="1"/>
  <c r="G129" i="1" s="1"/>
  <c r="G143" i="1" s="1"/>
  <c r="G102" i="1"/>
  <c r="G130" i="1" s="1"/>
  <c r="G144" i="1" s="1"/>
  <c r="G108" i="1"/>
  <c r="G136" i="1" s="1"/>
  <c r="G150" i="1" s="1"/>
  <c r="G107" i="1"/>
  <c r="G135" i="1" s="1"/>
  <c r="G149" i="1" s="1"/>
  <c r="H99" i="1"/>
  <c r="H127" i="1" s="1"/>
  <c r="H141" i="1" s="1"/>
  <c r="H105" i="1"/>
  <c r="H133" i="1" s="1"/>
  <c r="H147" i="1" s="1"/>
  <c r="H100" i="1"/>
  <c r="H128" i="1" s="1"/>
  <c r="H142" i="1" s="1"/>
  <c r="H106" i="1"/>
  <c r="H134" i="1" s="1"/>
  <c r="H148" i="1" s="1"/>
  <c r="H102" i="1"/>
  <c r="H130" i="1" s="1"/>
  <c r="H144" i="1" s="1"/>
  <c r="H104" i="1"/>
  <c r="H132" i="1" s="1"/>
  <c r="H146" i="1" s="1"/>
  <c r="H108" i="1"/>
  <c r="H136" i="1" s="1"/>
  <c r="H150" i="1" s="1"/>
  <c r="H101" i="1"/>
  <c r="H129" i="1" s="1"/>
  <c r="H143" i="1" s="1"/>
  <c r="H103" i="1"/>
  <c r="H131" i="1" s="1"/>
  <c r="H145" i="1" s="1"/>
  <c r="H107" i="1"/>
  <c r="H135" i="1" s="1"/>
  <c r="H149" i="1" s="1"/>
  <c r="I99" i="1"/>
  <c r="I127" i="1" s="1"/>
  <c r="I141" i="1" s="1"/>
  <c r="I108" i="1"/>
  <c r="I136" i="1" s="1"/>
  <c r="I150" i="1" s="1"/>
  <c r="I101" i="1"/>
  <c r="I129" i="1" s="1"/>
  <c r="I143" i="1" s="1"/>
  <c r="I102" i="1"/>
  <c r="I130" i="1" s="1"/>
  <c r="I144" i="1" s="1"/>
  <c r="I103" i="1"/>
  <c r="I131" i="1" s="1"/>
  <c r="I145" i="1" s="1"/>
  <c r="I104" i="1"/>
  <c r="I132" i="1" s="1"/>
  <c r="I146" i="1" s="1"/>
  <c r="I107" i="1"/>
  <c r="I135" i="1" s="1"/>
  <c r="I149" i="1" s="1"/>
  <c r="I100" i="1"/>
  <c r="I128" i="1" s="1"/>
  <c r="I142" i="1" s="1"/>
  <c r="I105" i="1"/>
  <c r="I133" i="1" s="1"/>
  <c r="I147" i="1" s="1"/>
  <c r="I106" i="1"/>
  <c r="I134" i="1" s="1"/>
  <c r="I148" i="1" s="1"/>
  <c r="J99" i="1"/>
  <c r="J127" i="1" s="1"/>
  <c r="J141" i="1" s="1"/>
  <c r="J102" i="1"/>
  <c r="J130" i="1" s="1"/>
  <c r="J144" i="1" s="1"/>
  <c r="J103" i="1"/>
  <c r="J131" i="1" s="1"/>
  <c r="J145" i="1" s="1"/>
  <c r="J100" i="1"/>
  <c r="J128" i="1" s="1"/>
  <c r="J142" i="1" s="1"/>
  <c r="J105" i="1"/>
  <c r="J133" i="1" s="1"/>
  <c r="J147" i="1" s="1"/>
  <c r="J106" i="1"/>
  <c r="J134" i="1" s="1"/>
  <c r="J148" i="1" s="1"/>
  <c r="J104" i="1"/>
  <c r="J132" i="1" s="1"/>
  <c r="J146" i="1" s="1"/>
  <c r="J101" i="1"/>
  <c r="J129" i="1" s="1"/>
  <c r="J143" i="1" s="1"/>
  <c r="J107" i="1"/>
  <c r="J135" i="1" s="1"/>
  <c r="J149" i="1" s="1"/>
  <c r="J108" i="1"/>
  <c r="J136" i="1" s="1"/>
  <c r="J150" i="1" s="1"/>
  <c r="K99" i="1"/>
  <c r="K127" i="1" s="1"/>
  <c r="K141" i="1" s="1"/>
  <c r="K107" i="1"/>
  <c r="K135" i="1" s="1"/>
  <c r="K149" i="1" s="1"/>
  <c r="K103" i="1"/>
  <c r="K131" i="1" s="1"/>
  <c r="K145" i="1" s="1"/>
  <c r="K106" i="1"/>
  <c r="K134" i="1" s="1"/>
  <c r="K148" i="1" s="1"/>
  <c r="K101" i="1"/>
  <c r="K129" i="1" s="1"/>
  <c r="K143" i="1" s="1"/>
  <c r="K100" i="1"/>
  <c r="K128" i="1" s="1"/>
  <c r="K142" i="1" s="1"/>
  <c r="K105" i="1"/>
  <c r="K133" i="1" s="1"/>
  <c r="K147" i="1" s="1"/>
  <c r="K102" i="1"/>
  <c r="K130" i="1" s="1"/>
  <c r="K144" i="1" s="1"/>
  <c r="K104" i="1"/>
  <c r="K132" i="1" s="1"/>
  <c r="K146" i="1" s="1"/>
  <c r="K108" i="1"/>
  <c r="K136" i="1" s="1"/>
  <c r="K150" i="1" s="1"/>
  <c r="L99" i="1"/>
  <c r="L127" i="1" s="1"/>
  <c r="L141" i="1" s="1"/>
  <c r="L108" i="1"/>
  <c r="L136" i="1" s="1"/>
  <c r="L150" i="1" s="1"/>
  <c r="L107" i="1"/>
  <c r="L135" i="1" s="1"/>
  <c r="L149" i="1" s="1"/>
  <c r="L102" i="1"/>
  <c r="L130" i="1" s="1"/>
  <c r="L144" i="1" s="1"/>
  <c r="L100" i="1"/>
  <c r="L128" i="1" s="1"/>
  <c r="L142" i="1" s="1"/>
  <c r="L101" i="1"/>
  <c r="L129" i="1" s="1"/>
  <c r="L143" i="1" s="1"/>
  <c r="L104" i="1"/>
  <c r="L132" i="1" s="1"/>
  <c r="L146" i="1" s="1"/>
  <c r="L105" i="1"/>
  <c r="L133" i="1" s="1"/>
  <c r="L147" i="1" s="1"/>
  <c r="L103" i="1"/>
  <c r="L131" i="1" s="1"/>
  <c r="L145" i="1" s="1"/>
  <c r="L106" i="1"/>
  <c r="L134" i="1" s="1"/>
  <c r="L148" i="1" s="1"/>
  <c r="M99" i="1"/>
  <c r="M127" i="1" s="1"/>
  <c r="M141" i="1" s="1"/>
  <c r="M107" i="1"/>
  <c r="M135" i="1" s="1"/>
  <c r="M149" i="1" s="1"/>
  <c r="M106" i="1"/>
  <c r="M134" i="1" s="1"/>
  <c r="M148" i="1" s="1"/>
  <c r="M103" i="1"/>
  <c r="M131" i="1" s="1"/>
  <c r="M145" i="1" s="1"/>
  <c r="M105" i="1"/>
  <c r="M133" i="1" s="1"/>
  <c r="M147" i="1" s="1"/>
  <c r="M108" i="1"/>
  <c r="M136" i="1" s="1"/>
  <c r="M150" i="1" s="1"/>
  <c r="M104" i="1"/>
  <c r="M132" i="1" s="1"/>
  <c r="M146" i="1" s="1"/>
  <c r="M102" i="1"/>
  <c r="M130" i="1" s="1"/>
  <c r="M144" i="1" s="1"/>
  <c r="M100" i="1"/>
  <c r="M128" i="1" s="1"/>
  <c r="M142" i="1" s="1"/>
  <c r="M101" i="1"/>
  <c r="M129" i="1" s="1"/>
  <c r="M143" i="1" s="1"/>
  <c r="N99" i="1"/>
  <c r="N127" i="1" s="1"/>
  <c r="N141" i="1" s="1"/>
  <c r="N106" i="1"/>
  <c r="N134" i="1" s="1"/>
  <c r="N148" i="1" s="1"/>
  <c r="N107" i="1"/>
  <c r="N135" i="1" s="1"/>
  <c r="N149" i="1" s="1"/>
  <c r="N102" i="1"/>
  <c r="N130" i="1" s="1"/>
  <c r="N144" i="1" s="1"/>
  <c r="N104" i="1"/>
  <c r="N132" i="1" s="1"/>
  <c r="N146" i="1" s="1"/>
  <c r="N105" i="1"/>
  <c r="N133" i="1" s="1"/>
  <c r="N147" i="1" s="1"/>
  <c r="N108" i="1"/>
  <c r="N136" i="1" s="1"/>
  <c r="N150" i="1" s="1"/>
  <c r="N101" i="1"/>
  <c r="N129" i="1" s="1"/>
  <c r="N143" i="1" s="1"/>
  <c r="N103" i="1"/>
  <c r="N131" i="1" s="1"/>
  <c r="N145" i="1" s="1"/>
  <c r="N100" i="1"/>
  <c r="N128" i="1" s="1"/>
  <c r="N142" i="1" s="1"/>
  <c r="O99" i="1"/>
  <c r="O127" i="1" s="1"/>
  <c r="O141" i="1" s="1"/>
  <c r="O104" i="1"/>
  <c r="O132" i="1" s="1"/>
  <c r="O146" i="1" s="1"/>
  <c r="O106" i="1"/>
  <c r="O134" i="1" s="1"/>
  <c r="O148" i="1" s="1"/>
  <c r="O102" i="1"/>
  <c r="O130" i="1" s="1"/>
  <c r="O144" i="1" s="1"/>
  <c r="O107" i="1"/>
  <c r="O135" i="1" s="1"/>
  <c r="O149" i="1" s="1"/>
  <c r="O105" i="1"/>
  <c r="O133" i="1" s="1"/>
  <c r="O147" i="1" s="1"/>
  <c r="O108" i="1"/>
  <c r="O136" i="1" s="1"/>
  <c r="O150" i="1" s="1"/>
  <c r="O101" i="1"/>
  <c r="O129" i="1" s="1"/>
  <c r="O143" i="1" s="1"/>
  <c r="O103" i="1"/>
  <c r="O131" i="1" s="1"/>
  <c r="O145" i="1" s="1"/>
  <c r="O100" i="1"/>
  <c r="O128" i="1" s="1"/>
  <c r="O142" i="1" s="1"/>
  <c r="E156" i="1"/>
  <c r="E163" i="1"/>
  <c r="E155" i="1"/>
  <c r="E162" i="1"/>
  <c r="E157" i="1"/>
  <c r="E164" i="1"/>
  <c r="E158" i="1"/>
  <c r="E160" i="1"/>
  <c r="E159" i="1"/>
  <c r="E161" i="1"/>
  <c r="E108" i="1"/>
  <c r="E136" i="1" s="1"/>
  <c r="E150" i="1" s="1"/>
  <c r="E107" i="1"/>
  <c r="E135" i="1" s="1"/>
  <c r="E149" i="1" s="1"/>
  <c r="E106" i="1"/>
  <c r="E134" i="1" s="1"/>
  <c r="E148" i="1" s="1"/>
  <c r="E105" i="1"/>
  <c r="E133" i="1" s="1"/>
  <c r="E147" i="1" s="1"/>
  <c r="E104" i="1"/>
  <c r="E132" i="1" s="1"/>
  <c r="E146" i="1" s="1"/>
  <c r="E103" i="1"/>
  <c r="E131" i="1" s="1"/>
  <c r="E145" i="1" s="1"/>
  <c r="E101" i="1"/>
  <c r="E129" i="1" s="1"/>
  <c r="E143" i="1" s="1"/>
  <c r="E102" i="1"/>
  <c r="E130" i="1" s="1"/>
  <c r="E144" i="1" s="1"/>
  <c r="E100" i="1"/>
  <c r="E128" i="1" s="1"/>
  <c r="E142" i="1" s="1"/>
  <c r="E99" i="1"/>
  <c r="E127" i="1" s="1"/>
  <c r="E141" i="1" s="1"/>
  <c r="D99" i="1"/>
  <c r="D127" i="1" s="1"/>
  <c r="D141" i="1" s="1"/>
  <c r="D100" i="1"/>
  <c r="D128" i="1" s="1"/>
  <c r="D142" i="1" s="1"/>
  <c r="D101" i="1"/>
  <c r="D129" i="1" s="1"/>
  <c r="D143" i="1" s="1"/>
  <c r="D102" i="1"/>
  <c r="D130" i="1" s="1"/>
  <c r="D144" i="1" s="1"/>
  <c r="D103" i="1"/>
  <c r="D131" i="1" s="1"/>
  <c r="D145" i="1" s="1"/>
  <c r="D104" i="1"/>
  <c r="D132" i="1" s="1"/>
  <c r="D146" i="1" s="1"/>
  <c r="D105" i="1"/>
  <c r="D133" i="1" s="1"/>
  <c r="D147" i="1" s="1"/>
  <c r="D106" i="1"/>
  <c r="D134" i="1" s="1"/>
  <c r="D148" i="1" s="1"/>
  <c r="D107" i="1"/>
  <c r="D135" i="1" s="1"/>
  <c r="D149" i="1" s="1"/>
  <c r="D108" i="1"/>
  <c r="D136" i="1" s="1"/>
  <c r="D150" i="1" s="1"/>
  <c r="O21" i="1"/>
  <c r="O20" i="1"/>
  <c r="O24" i="1" s="1"/>
  <c r="N21" i="1"/>
  <c r="N20" i="1"/>
  <c r="N24" i="1" s="1"/>
  <c r="M21" i="1"/>
  <c r="M20" i="1"/>
  <c r="M24" i="1" s="1"/>
  <c r="L21" i="1"/>
  <c r="L20" i="1"/>
  <c r="L24" i="1" s="1"/>
  <c r="K21" i="1"/>
  <c r="K20" i="1"/>
  <c r="K24" i="1" s="1"/>
  <c r="J21" i="1"/>
  <c r="J20" i="1"/>
  <c r="J24" i="1" s="1"/>
  <c r="I21" i="1"/>
  <c r="I20" i="1"/>
  <c r="I24" i="1" s="1"/>
  <c r="H21" i="1"/>
  <c r="H20" i="1"/>
  <c r="H24" i="1" s="1"/>
  <c r="G21" i="1"/>
  <c r="G20" i="1"/>
  <c r="G24" i="1" s="1"/>
  <c r="F21" i="1"/>
  <c r="F20" i="1"/>
  <c r="F24" i="1" s="1"/>
  <c r="E21" i="1"/>
  <c r="E20" i="1"/>
  <c r="E24" i="1" s="1"/>
  <c r="C141" i="1" l="1"/>
  <c r="C169" i="1" s="1"/>
  <c r="C183" i="1" s="1"/>
  <c r="C174" i="1"/>
  <c r="C188" i="1" s="1"/>
  <c r="C175" i="1"/>
  <c r="C189" i="1" s="1"/>
  <c r="C176" i="1"/>
  <c r="C190" i="1" s="1"/>
  <c r="C170" i="1"/>
  <c r="C184" i="1" s="1"/>
  <c r="C171" i="1"/>
  <c r="C185" i="1" s="1"/>
  <c r="F169" i="1"/>
  <c r="F183" i="1" s="1"/>
  <c r="F171" i="1"/>
  <c r="F185" i="1" s="1"/>
  <c r="F172" i="1"/>
  <c r="F186" i="1" s="1"/>
  <c r="F173" i="1"/>
  <c r="F187" i="1" s="1"/>
  <c r="F178" i="1"/>
  <c r="F192" i="1" s="1"/>
  <c r="F175" i="1"/>
  <c r="F189" i="1" s="1"/>
  <c r="F177" i="1"/>
  <c r="F191" i="1" s="1"/>
  <c r="E178" i="1"/>
  <c r="E192" i="1" s="1"/>
  <c r="E177" i="1"/>
  <c r="E191" i="1" s="1"/>
  <c r="E176" i="1"/>
  <c r="E190" i="1" s="1"/>
  <c r="E175" i="1"/>
  <c r="E189" i="1" s="1"/>
  <c r="E174" i="1"/>
  <c r="E188" i="1" s="1"/>
  <c r="E173" i="1"/>
  <c r="E187" i="1" s="1"/>
  <c r="E171" i="1"/>
  <c r="E185" i="1" s="1"/>
  <c r="F170" i="1"/>
  <c r="F184" i="1" s="1"/>
  <c r="F176" i="1"/>
  <c r="F190" i="1" s="1"/>
  <c r="F174" i="1"/>
  <c r="F188" i="1" s="1"/>
  <c r="G169" i="1"/>
  <c r="G183" i="1" s="1"/>
  <c r="G173" i="1"/>
  <c r="G187" i="1" s="1"/>
  <c r="G174" i="1"/>
  <c r="G188" i="1" s="1"/>
  <c r="G175" i="1"/>
  <c r="G189" i="1" s="1"/>
  <c r="G170" i="1"/>
  <c r="G184" i="1" s="1"/>
  <c r="G176" i="1"/>
  <c r="G190" i="1" s="1"/>
  <c r="G171" i="1"/>
  <c r="G185" i="1" s="1"/>
  <c r="H175" i="1"/>
  <c r="H189" i="1" s="1"/>
  <c r="H176" i="1"/>
  <c r="H190" i="1" s="1"/>
  <c r="H174" i="1"/>
  <c r="H188" i="1" s="1"/>
  <c r="G172" i="1"/>
  <c r="G186" i="1" s="1"/>
  <c r="G178" i="1"/>
  <c r="G192" i="1" s="1"/>
  <c r="G177" i="1"/>
  <c r="G191" i="1" s="1"/>
  <c r="H169" i="1"/>
  <c r="H183" i="1" s="1"/>
  <c r="H170" i="1"/>
  <c r="H184" i="1" s="1"/>
  <c r="H172" i="1"/>
  <c r="H186" i="1" s="1"/>
  <c r="H178" i="1"/>
  <c r="H192" i="1" s="1"/>
  <c r="H171" i="1"/>
  <c r="H185" i="1" s="1"/>
  <c r="H173" i="1"/>
  <c r="H187" i="1" s="1"/>
  <c r="H177" i="1"/>
  <c r="H191" i="1" s="1"/>
  <c r="I169" i="1"/>
  <c r="I183" i="1" s="1"/>
  <c r="I178" i="1"/>
  <c r="I192" i="1" s="1"/>
  <c r="I171" i="1"/>
  <c r="I185" i="1" s="1"/>
  <c r="I172" i="1"/>
  <c r="I186" i="1" s="1"/>
  <c r="I173" i="1"/>
  <c r="I187" i="1" s="1"/>
  <c r="I174" i="1"/>
  <c r="I188" i="1" s="1"/>
  <c r="I177" i="1"/>
  <c r="I191" i="1" s="1"/>
  <c r="I170" i="1"/>
  <c r="I184" i="1" s="1"/>
  <c r="I175" i="1"/>
  <c r="I189" i="1" s="1"/>
  <c r="I176" i="1"/>
  <c r="I190" i="1" s="1"/>
  <c r="J169" i="1"/>
  <c r="J183" i="1" s="1"/>
  <c r="J172" i="1"/>
  <c r="J186" i="1" s="1"/>
  <c r="J173" i="1"/>
  <c r="J187" i="1" s="1"/>
  <c r="J170" i="1"/>
  <c r="J184" i="1" s="1"/>
  <c r="J175" i="1"/>
  <c r="J189" i="1" s="1"/>
  <c r="J176" i="1"/>
  <c r="J190" i="1" s="1"/>
  <c r="J174" i="1"/>
  <c r="J188" i="1" s="1"/>
  <c r="J171" i="1"/>
  <c r="J185" i="1" s="1"/>
  <c r="J177" i="1"/>
  <c r="J191" i="1" s="1"/>
  <c r="J178" i="1"/>
  <c r="J192" i="1" s="1"/>
  <c r="K169" i="1"/>
  <c r="K183" i="1" s="1"/>
  <c r="K177" i="1"/>
  <c r="K191" i="1" s="1"/>
  <c r="K173" i="1"/>
  <c r="K187" i="1" s="1"/>
  <c r="K176" i="1"/>
  <c r="K190" i="1" s="1"/>
  <c r="K171" i="1"/>
  <c r="K185" i="1" s="1"/>
  <c r="K170" i="1"/>
  <c r="K184" i="1" s="1"/>
  <c r="K175" i="1"/>
  <c r="K189" i="1" s="1"/>
  <c r="K172" i="1"/>
  <c r="K186" i="1" s="1"/>
  <c r="M178" i="1"/>
  <c r="M192" i="1" s="1"/>
  <c r="M172" i="1"/>
  <c r="M186" i="1" s="1"/>
  <c r="M171" i="1"/>
  <c r="M185" i="1" s="1"/>
  <c r="N177" i="1"/>
  <c r="N191" i="1" s="1"/>
  <c r="N175" i="1"/>
  <c r="N189" i="1" s="1"/>
  <c r="N173" i="1"/>
  <c r="N187" i="1" s="1"/>
  <c r="O169" i="1"/>
  <c r="O183" i="1" s="1"/>
  <c r="O176" i="1"/>
  <c r="O190" i="1" s="1"/>
  <c r="O175" i="1"/>
  <c r="O189" i="1" s="1"/>
  <c r="K174" i="1"/>
  <c r="K188" i="1" s="1"/>
  <c r="K178" i="1"/>
  <c r="K192" i="1" s="1"/>
  <c r="L169" i="1"/>
  <c r="L183" i="1" s="1"/>
  <c r="L178" i="1"/>
  <c r="L192" i="1" s="1"/>
  <c r="L177" i="1"/>
  <c r="L191" i="1" s="1"/>
  <c r="L172" i="1"/>
  <c r="L186" i="1" s="1"/>
  <c r="L170" i="1"/>
  <c r="L184" i="1" s="1"/>
  <c r="L171" i="1"/>
  <c r="L185" i="1" s="1"/>
  <c r="L174" i="1"/>
  <c r="L188" i="1" s="1"/>
  <c r="L175" i="1"/>
  <c r="L189" i="1" s="1"/>
  <c r="M170" i="1"/>
  <c r="M184" i="1" s="1"/>
  <c r="N176" i="1"/>
  <c r="N190" i="1" s="1"/>
  <c r="N174" i="1"/>
  <c r="N188" i="1" s="1"/>
  <c r="N171" i="1"/>
  <c r="N185" i="1" s="1"/>
  <c r="O174" i="1"/>
  <c r="O188" i="1" s="1"/>
  <c r="O177" i="1"/>
  <c r="O191" i="1" s="1"/>
  <c r="O171" i="1"/>
  <c r="O185" i="1" s="1"/>
  <c r="L173" i="1"/>
  <c r="L187" i="1" s="1"/>
  <c r="L176" i="1"/>
  <c r="L190" i="1" s="1"/>
  <c r="M169" i="1"/>
  <c r="M183" i="1" s="1"/>
  <c r="M177" i="1"/>
  <c r="M191" i="1" s="1"/>
  <c r="M176" i="1"/>
  <c r="M190" i="1" s="1"/>
  <c r="M173" i="1"/>
  <c r="M187" i="1" s="1"/>
  <c r="M175" i="1"/>
  <c r="M189" i="1" s="1"/>
  <c r="M174" i="1"/>
  <c r="M188" i="1" s="1"/>
  <c r="N169" i="1"/>
  <c r="N183" i="1" s="1"/>
  <c r="N172" i="1"/>
  <c r="N186" i="1" s="1"/>
  <c r="N178" i="1"/>
  <c r="N192" i="1" s="1"/>
  <c r="N170" i="1"/>
  <c r="N184" i="1" s="1"/>
  <c r="O172" i="1"/>
  <c r="O186" i="1" s="1"/>
  <c r="O178" i="1"/>
  <c r="O192" i="1" s="1"/>
  <c r="O173" i="1"/>
  <c r="O187" i="1" s="1"/>
  <c r="O170" i="1"/>
  <c r="O184" i="1" s="1"/>
  <c r="E172" i="1"/>
  <c r="E186" i="1" s="1"/>
  <c r="E170" i="1"/>
  <c r="E184" i="1" s="1"/>
  <c r="E169" i="1"/>
  <c r="E183" i="1" s="1"/>
  <c r="D169" i="1"/>
  <c r="D183" i="1" s="1"/>
  <c r="D170" i="1"/>
  <c r="D184" i="1" s="1"/>
  <c r="D171" i="1"/>
  <c r="D185" i="1" s="1"/>
  <c r="D172" i="1"/>
  <c r="D186" i="1" s="1"/>
  <c r="D173" i="1"/>
  <c r="D187" i="1" s="1"/>
  <c r="D174" i="1"/>
  <c r="D188" i="1" s="1"/>
  <c r="D175" i="1"/>
  <c r="D189" i="1" s="1"/>
  <c r="D176" i="1"/>
  <c r="D190" i="1" s="1"/>
  <c r="D177" i="1"/>
  <c r="D191" i="1" s="1"/>
  <c r="D178" i="1"/>
  <c r="D192" i="1" s="1"/>
</calcChain>
</file>

<file path=xl/sharedStrings.xml><?xml version="1.0" encoding="utf-8"?>
<sst xmlns="http://schemas.openxmlformats.org/spreadsheetml/2006/main" count="91" uniqueCount="62">
  <si>
    <t>1. Ingreso de cuencas y parámetros morfológicos.</t>
  </si>
  <si>
    <t>Parametro</t>
  </si>
  <si>
    <t>Unidad</t>
  </si>
  <si>
    <t>Cuenca</t>
  </si>
  <si>
    <t>Area</t>
  </si>
  <si>
    <t>(km2)</t>
  </si>
  <si>
    <t>Curva Numero</t>
  </si>
  <si>
    <t>(-)</t>
  </si>
  <si>
    <t>Elevacion Minima</t>
  </si>
  <si>
    <t>(m s.n.m.)</t>
  </si>
  <si>
    <t>Elevacion Maxima</t>
  </si>
  <si>
    <t>Rango Elevacion</t>
  </si>
  <si>
    <t>(m)</t>
  </si>
  <si>
    <t>Elevacion Media</t>
  </si>
  <si>
    <t>Pendiente Media Cauce Principal</t>
  </si>
  <si>
    <t>(m/m)</t>
  </si>
  <si>
    <t>Largo Cauce Principal</t>
  </si>
  <si>
    <t>(km)</t>
  </si>
  <si>
    <t>Largo Cauce - Centro de Gravedad</t>
  </si>
  <si>
    <t>Velocidad Media Cauce Principal</t>
  </si>
  <si>
    <t>(m/s)</t>
  </si>
  <si>
    <t>2. Cálculo tiempos de concentración y adopción de tiempo de concentración para cada cuenca</t>
  </si>
  <si>
    <t>Tiempos de concentración</t>
  </si>
  <si>
    <t>California Culverts Practice</t>
  </si>
  <si>
    <t>(hr)</t>
  </si>
  <si>
    <t>Giandotti</t>
  </si>
  <si>
    <t>SCS</t>
  </si>
  <si>
    <t>Normas Españolas</t>
  </si>
  <si>
    <t>Velocidad Media</t>
  </si>
  <si>
    <t>Tiempo de Concentración Adoptado</t>
  </si>
  <si>
    <t>3. Ingreso de coeficientes y cálculo C(T=10) y CD Bell</t>
  </si>
  <si>
    <t>CD1hr</t>
  </si>
  <si>
    <t>Relieve</t>
  </si>
  <si>
    <t>Infiltracion</t>
  </si>
  <si>
    <t>Vegetacion</t>
  </si>
  <si>
    <t>Almacenamiento Superficial</t>
  </si>
  <si>
    <t>C(T=10)</t>
  </si>
  <si>
    <t>CD Bell</t>
  </si>
  <si>
    <r>
      <t>4. Ingreso de periodos de retorno y precipitaciones máximas en 24 horas, P</t>
    </r>
    <r>
      <rPr>
        <vertAlign val="superscript"/>
        <sz val="11"/>
        <rFont val="Calibri"/>
        <family val="2"/>
        <scheme val="minor"/>
      </rPr>
      <t>T</t>
    </r>
    <r>
      <rPr>
        <vertAlign val="subscript"/>
        <sz val="11"/>
        <rFont val="Calibri"/>
        <family val="2"/>
        <scheme val="minor"/>
      </rPr>
      <t>24</t>
    </r>
    <r>
      <rPr>
        <sz val="11"/>
        <rFont val="Calibri"/>
        <family val="2"/>
        <scheme val="minor"/>
      </rPr>
      <t xml:space="preserve"> (mm)</t>
    </r>
  </si>
  <si>
    <r>
      <t>Precipitaciones Máximas en 24 horas, P</t>
    </r>
    <r>
      <rPr>
        <b/>
        <vertAlign val="superscript"/>
        <sz val="11"/>
        <color theme="1"/>
        <rFont val="Calibri"/>
        <family val="2"/>
        <scheme val="minor"/>
      </rPr>
      <t>T</t>
    </r>
    <r>
      <rPr>
        <b/>
        <vertAlign val="subscript"/>
        <sz val="11"/>
        <color theme="1"/>
        <rFont val="Calibri"/>
        <family val="2"/>
        <scheme val="minor"/>
      </rPr>
      <t>24</t>
    </r>
    <r>
      <rPr>
        <b/>
        <sz val="11"/>
        <color theme="1"/>
        <rFont val="Calibri"/>
        <family val="2"/>
        <scheme val="minor"/>
      </rPr>
      <t xml:space="preserve"> (mm)</t>
    </r>
  </si>
  <si>
    <t>T (años)</t>
  </si>
  <si>
    <t>5. Ingreso valores coeficientes de ajuste para C según período de retorno</t>
  </si>
  <si>
    <t>Coeficientes Ajuste C para distintos T</t>
  </si>
  <si>
    <t>Coeficiente</t>
  </si>
  <si>
    <r>
      <t>6. Cáclulo de la intensidad media de la precipitación en 24 horas, i</t>
    </r>
    <r>
      <rPr>
        <vertAlign val="superscript"/>
        <sz val="11"/>
        <rFont val="Calibri"/>
        <family val="2"/>
        <scheme val="minor"/>
      </rPr>
      <t>T</t>
    </r>
    <r>
      <rPr>
        <vertAlign val="subscript"/>
        <sz val="11"/>
        <rFont val="Calibri"/>
        <family val="2"/>
        <scheme val="minor"/>
      </rPr>
      <t>24</t>
    </r>
    <r>
      <rPr>
        <sz val="11"/>
        <rFont val="Calibri"/>
        <family val="2"/>
        <scheme val="minor"/>
      </rPr>
      <t xml:space="preserve"> (mm/hr)</t>
    </r>
  </si>
  <si>
    <r>
      <t>Intensidad media de la precipitación en 24 horas, i</t>
    </r>
    <r>
      <rPr>
        <b/>
        <vertAlign val="superscript"/>
        <sz val="11"/>
        <color theme="1"/>
        <rFont val="Calibri"/>
        <family val="2"/>
        <scheme val="minor"/>
      </rPr>
      <t>T</t>
    </r>
    <r>
      <rPr>
        <b/>
        <vertAlign val="subscript"/>
        <sz val="11"/>
        <color theme="1"/>
        <rFont val="Calibri"/>
        <family val="2"/>
        <scheme val="minor"/>
      </rPr>
      <t>24</t>
    </r>
    <r>
      <rPr>
        <b/>
        <sz val="11"/>
        <color theme="1"/>
        <rFont val="Calibri"/>
        <family val="2"/>
        <scheme val="minor"/>
      </rPr>
      <t xml:space="preserve"> (mm/hr)</t>
    </r>
  </si>
  <si>
    <r>
      <t>7. Cálculo de precipitaciones máximas en 1 hora, P</t>
    </r>
    <r>
      <rPr>
        <vertAlign val="superscript"/>
        <sz val="11"/>
        <color theme="1"/>
        <rFont val="Calibri"/>
        <family val="2"/>
        <scheme val="minor"/>
      </rPr>
      <t>T</t>
    </r>
    <r>
      <rPr>
        <vertAlign val="subscript"/>
        <sz val="11"/>
        <color theme="1"/>
        <rFont val="Calibri"/>
        <family val="2"/>
        <scheme val="minor"/>
      </rPr>
      <t>1</t>
    </r>
    <r>
      <rPr>
        <sz val="11"/>
        <color theme="1"/>
        <rFont val="Calibri"/>
        <family val="2"/>
        <scheme val="minor"/>
      </rPr>
      <t xml:space="preserve"> (mm)</t>
    </r>
  </si>
  <si>
    <r>
      <t>Precipitaciones Máximas en 1 hora, P</t>
    </r>
    <r>
      <rPr>
        <b/>
        <vertAlign val="superscript"/>
        <sz val="11"/>
        <color theme="1"/>
        <rFont val="Calibri"/>
        <family val="2"/>
        <scheme val="minor"/>
      </rPr>
      <t>T</t>
    </r>
    <r>
      <rPr>
        <b/>
        <vertAlign val="subscript"/>
        <sz val="11"/>
        <color theme="1"/>
        <rFont val="Calibri"/>
        <family val="2"/>
        <scheme val="minor"/>
      </rPr>
      <t>1</t>
    </r>
    <r>
      <rPr>
        <b/>
        <sz val="11"/>
        <color theme="1"/>
        <rFont val="Calibri"/>
        <family val="2"/>
        <scheme val="minor"/>
      </rPr>
      <t xml:space="preserve"> (mm)</t>
    </r>
  </si>
  <si>
    <r>
      <t>8. Cálculo de precipitaciones máximas en tiempo de concentración, P</t>
    </r>
    <r>
      <rPr>
        <vertAlign val="superscript"/>
        <sz val="11"/>
        <color theme="1"/>
        <rFont val="Calibri"/>
        <family val="2"/>
        <scheme val="minor"/>
      </rPr>
      <t>T</t>
    </r>
    <r>
      <rPr>
        <vertAlign val="subscript"/>
        <sz val="11"/>
        <color theme="1"/>
        <rFont val="Calibri"/>
        <family val="2"/>
        <scheme val="minor"/>
      </rPr>
      <t>tc</t>
    </r>
    <r>
      <rPr>
        <sz val="11"/>
        <color theme="1"/>
        <rFont val="Calibri"/>
        <family val="2"/>
        <scheme val="minor"/>
      </rPr>
      <t xml:space="preserve"> (mm)</t>
    </r>
  </si>
  <si>
    <r>
      <t>Precipitaciones Máximas en tiempo de concentración, P</t>
    </r>
    <r>
      <rPr>
        <b/>
        <vertAlign val="superscript"/>
        <sz val="11"/>
        <color theme="1"/>
        <rFont val="Calibri"/>
        <family val="2"/>
        <scheme val="minor"/>
      </rPr>
      <t>T</t>
    </r>
    <r>
      <rPr>
        <b/>
        <vertAlign val="subscript"/>
        <sz val="11"/>
        <color theme="1"/>
        <rFont val="Calibri"/>
        <family val="2"/>
        <scheme val="minor"/>
      </rPr>
      <t>tc</t>
    </r>
    <r>
      <rPr>
        <b/>
        <sz val="11"/>
        <color theme="1"/>
        <rFont val="Calibri"/>
        <family val="2"/>
        <scheme val="minor"/>
      </rPr>
      <t xml:space="preserve"> (mm)</t>
    </r>
  </si>
  <si>
    <r>
      <t>9. Cálculo de la intensidad media de la precipitación en tiempo de concentración , i</t>
    </r>
    <r>
      <rPr>
        <vertAlign val="superscript"/>
        <sz val="11"/>
        <rFont val="Calibri"/>
        <family val="2"/>
        <scheme val="minor"/>
      </rPr>
      <t>T</t>
    </r>
    <r>
      <rPr>
        <vertAlign val="subscript"/>
        <sz val="11"/>
        <rFont val="Calibri"/>
        <family val="2"/>
        <scheme val="minor"/>
      </rPr>
      <t>tc</t>
    </r>
    <r>
      <rPr>
        <sz val="11"/>
        <rFont val="Calibri"/>
        <family val="2"/>
        <scheme val="minor"/>
      </rPr>
      <t xml:space="preserve"> (mm/hr) </t>
    </r>
    <r>
      <rPr>
        <b/>
        <sz val="11"/>
        <color rgb="FFFF0000"/>
        <rFont val="Calibri"/>
        <family val="2"/>
        <scheme val="minor"/>
      </rPr>
      <t>(con fórmula de Grunsky)</t>
    </r>
  </si>
  <si>
    <r>
      <t>Intensidad media de la precipitación en tiempo de concentración, i</t>
    </r>
    <r>
      <rPr>
        <b/>
        <vertAlign val="superscript"/>
        <sz val="11"/>
        <color theme="1"/>
        <rFont val="Calibri"/>
        <family val="2"/>
        <scheme val="minor"/>
      </rPr>
      <t>T</t>
    </r>
    <r>
      <rPr>
        <b/>
        <vertAlign val="subscript"/>
        <sz val="11"/>
        <color theme="1"/>
        <rFont val="Calibri"/>
        <family val="2"/>
        <scheme val="minor"/>
      </rPr>
      <t>tc</t>
    </r>
    <r>
      <rPr>
        <b/>
        <sz val="11"/>
        <color theme="1"/>
        <rFont val="Calibri"/>
        <family val="2"/>
        <scheme val="minor"/>
      </rPr>
      <t xml:space="preserve"> (mm/hr)</t>
    </r>
    <r>
      <rPr>
        <b/>
        <sz val="11"/>
        <color rgb="FFFF0000"/>
        <rFont val="Calibri"/>
        <family val="2"/>
        <scheme val="minor"/>
      </rPr>
      <t xml:space="preserve"> (fórmula de Grunsky)</t>
    </r>
  </si>
  <si>
    <r>
      <t>10. Cálculo de la intensidad media de la precipitación en tiempo de concentración , i</t>
    </r>
    <r>
      <rPr>
        <vertAlign val="superscript"/>
        <sz val="11"/>
        <rFont val="Calibri"/>
        <family val="2"/>
        <scheme val="minor"/>
      </rPr>
      <t>T</t>
    </r>
    <r>
      <rPr>
        <vertAlign val="subscript"/>
        <sz val="11"/>
        <rFont val="Calibri"/>
        <family val="2"/>
        <scheme val="minor"/>
      </rPr>
      <t>tc</t>
    </r>
    <r>
      <rPr>
        <sz val="11"/>
        <rFont val="Calibri"/>
        <family val="2"/>
        <scheme val="minor"/>
      </rPr>
      <t xml:space="preserve"> (mm/hr) </t>
    </r>
    <r>
      <rPr>
        <b/>
        <sz val="11"/>
        <color rgb="FFFF0000"/>
        <rFont val="Calibri"/>
        <family val="2"/>
        <scheme val="minor"/>
      </rPr>
      <t>(con fórmula de Bell)</t>
    </r>
  </si>
  <si>
    <r>
      <t>Intensidad media de la precipitación en tiempo de concentración, i</t>
    </r>
    <r>
      <rPr>
        <b/>
        <vertAlign val="superscript"/>
        <sz val="11"/>
        <color theme="1"/>
        <rFont val="Calibri"/>
        <family val="2"/>
        <scheme val="minor"/>
      </rPr>
      <t>T</t>
    </r>
    <r>
      <rPr>
        <b/>
        <vertAlign val="subscript"/>
        <sz val="11"/>
        <color theme="1"/>
        <rFont val="Calibri"/>
        <family val="2"/>
        <scheme val="minor"/>
      </rPr>
      <t>tc</t>
    </r>
    <r>
      <rPr>
        <b/>
        <sz val="11"/>
        <color theme="1"/>
        <rFont val="Calibri"/>
        <family val="2"/>
        <scheme val="minor"/>
      </rPr>
      <t xml:space="preserve"> (mm/hr)</t>
    </r>
    <r>
      <rPr>
        <b/>
        <sz val="11"/>
        <color rgb="FFFF0000"/>
        <rFont val="Calibri"/>
        <family val="2"/>
        <scheme val="minor"/>
      </rPr>
      <t xml:space="preserve"> (fórmula de Bell)</t>
    </r>
  </si>
  <si>
    <r>
      <t>11. Adopción de valor para la intensidad media de la precipitación en tiempo de concentración , i</t>
    </r>
    <r>
      <rPr>
        <vertAlign val="superscript"/>
        <sz val="11"/>
        <rFont val="Calibri"/>
        <family val="2"/>
        <scheme val="minor"/>
      </rPr>
      <t>T</t>
    </r>
    <r>
      <rPr>
        <vertAlign val="subscript"/>
        <sz val="11"/>
        <rFont val="Calibri"/>
        <family val="2"/>
        <scheme val="minor"/>
      </rPr>
      <t>tc</t>
    </r>
    <r>
      <rPr>
        <sz val="11"/>
        <rFont val="Calibri"/>
        <family val="2"/>
        <scheme val="minor"/>
      </rPr>
      <t xml:space="preserve"> (mm/hr),</t>
    </r>
    <r>
      <rPr>
        <b/>
        <sz val="11"/>
        <color rgb="FFFF0000"/>
        <rFont val="Calibri"/>
        <family val="2"/>
        <scheme val="minor"/>
      </rPr>
      <t xml:space="preserve"> según tiempo de concentración (tc &lt;</t>
    </r>
    <r>
      <rPr>
        <b/>
        <sz val="11"/>
        <color rgb="FFFF0000"/>
        <rFont val="Calibri"/>
        <family val="2"/>
      </rPr>
      <t xml:space="preserve"> 1hr </t>
    </r>
    <r>
      <rPr>
        <b/>
        <sz val="11"/>
        <color rgb="FFFF0000"/>
        <rFont val="Aptos Narrow"/>
        <family val="2"/>
      </rPr>
      <t>→</t>
    </r>
    <r>
      <rPr>
        <b/>
        <sz val="11"/>
        <color rgb="FFFF0000"/>
        <rFont val="Calibri"/>
        <family val="2"/>
      </rPr>
      <t xml:space="preserve"> Bell, tc </t>
    </r>
    <r>
      <rPr>
        <b/>
        <sz val="11"/>
        <color rgb="FFFF0000"/>
        <rFont val="Aptos Narrow"/>
        <family val="2"/>
      </rPr>
      <t>≥</t>
    </r>
    <r>
      <rPr>
        <b/>
        <sz val="11"/>
        <color rgb="FFFF0000"/>
        <rFont val="Calibri"/>
        <family val="2"/>
      </rPr>
      <t xml:space="preserve"> 1hr → Grunsky)</t>
    </r>
  </si>
  <si>
    <r>
      <t>Intensidad media de la precipitación en tiempo de concentración, i</t>
    </r>
    <r>
      <rPr>
        <b/>
        <vertAlign val="superscript"/>
        <sz val="11"/>
        <color theme="1"/>
        <rFont val="Calibri"/>
        <family val="2"/>
        <scheme val="minor"/>
      </rPr>
      <t>T</t>
    </r>
    <r>
      <rPr>
        <b/>
        <vertAlign val="subscript"/>
        <sz val="11"/>
        <color theme="1"/>
        <rFont val="Calibri"/>
        <family val="2"/>
        <scheme val="minor"/>
      </rPr>
      <t>tc</t>
    </r>
    <r>
      <rPr>
        <b/>
        <sz val="11"/>
        <color theme="1"/>
        <rFont val="Calibri"/>
        <family val="2"/>
        <scheme val="minor"/>
      </rPr>
      <t xml:space="preserve"> (mm/hr)</t>
    </r>
    <r>
      <rPr>
        <b/>
        <sz val="11"/>
        <color rgb="FFFF0000"/>
        <rFont val="Calibri"/>
        <family val="2"/>
        <scheme val="minor"/>
      </rPr>
      <t xml:space="preserve"> (valor adoptado)</t>
    </r>
  </si>
  <si>
    <t>12. Cálculo del coeficiente de escorrentía</t>
  </si>
  <si>
    <t>Coeficientes de escorrentía</t>
  </si>
  <si>
    <t>13. Cálculo de caudal máximo instantáneo por Método Racional</t>
  </si>
  <si>
    <r>
      <t>Caudal máximo instantáneo (m</t>
    </r>
    <r>
      <rPr>
        <b/>
        <vertAlign val="superscript"/>
        <sz val="11"/>
        <color theme="1"/>
        <rFont val="Calibri"/>
        <family val="2"/>
        <scheme val="minor"/>
      </rPr>
      <t>3</t>
    </r>
    <r>
      <rPr>
        <b/>
        <sz val="11"/>
        <color theme="1"/>
        <rFont val="Calibri"/>
        <family val="2"/>
        <scheme val="minor"/>
      </rPr>
      <t>/s)</t>
    </r>
  </si>
  <si>
    <r>
      <t>14. Cálculo de rendimientos, (m</t>
    </r>
    <r>
      <rPr>
        <vertAlign val="superscript"/>
        <sz val="11"/>
        <rFont val="Calibri"/>
        <family val="2"/>
        <scheme val="minor"/>
      </rPr>
      <t>3</t>
    </r>
    <r>
      <rPr>
        <sz val="11"/>
        <rFont val="Calibri"/>
        <family val="2"/>
        <scheme val="minor"/>
      </rPr>
      <t>/s/km</t>
    </r>
    <r>
      <rPr>
        <vertAlign val="superscript"/>
        <sz val="11"/>
        <rFont val="Calibri"/>
        <family val="2"/>
        <scheme val="minor"/>
      </rPr>
      <t>2</t>
    </r>
    <r>
      <rPr>
        <sz val="11"/>
        <rFont val="Calibri"/>
        <family val="2"/>
        <scheme val="minor"/>
      </rPr>
      <t>)</t>
    </r>
  </si>
  <si>
    <r>
      <t>Rendimientos (m</t>
    </r>
    <r>
      <rPr>
        <b/>
        <vertAlign val="superscript"/>
        <sz val="11"/>
        <color theme="1"/>
        <rFont val="Calibri"/>
        <family val="2"/>
        <scheme val="minor"/>
      </rPr>
      <t>3</t>
    </r>
    <r>
      <rPr>
        <b/>
        <sz val="11"/>
        <color theme="1"/>
        <rFont val="Calibri"/>
        <family val="2"/>
        <scheme val="minor"/>
      </rPr>
      <t>/s/km</t>
    </r>
    <r>
      <rPr>
        <b/>
        <vertAlign val="superscript"/>
        <sz val="11"/>
        <color theme="1"/>
        <rFont val="Calibri"/>
        <family val="2"/>
        <scheme val="minor"/>
      </rPr>
      <t>2</t>
    </r>
    <r>
      <rPr>
        <b/>
        <sz val="11"/>
        <color theme="1"/>
        <rFont val="Calibri"/>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</si>
</sst>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x14ac:knownFonts="1">
    <font>
      <sz val="11"/>
      <color theme="1"/>
      <name val="Calibri"/>
      <family val="2"/>
      <scheme val="minor"/>
    </font>
    <font>
      <b/>
      <sz val="11"/>
      <color theme="1"/>
      <name val="Calibri"/>
      <family val="2"/>
      <scheme val="minor"/>
    </font>
    <font>
      <sz val="11"/>
      <name val="Calibri"/>
      <family val="2"/>
      <scheme val="minor"/>
    </font>
    <font>
      <b/>
      <vertAlign val="superscript"/>
      <sz val="11"/>
      <color theme="1"/>
      <name val="Calibri"/>
      <family val="2"/>
      <scheme val="minor"/>
    </font>
    <font>
      <b/>
      <vertAlign val="subscript"/>
      <sz val="11"/>
      <color theme="1"/>
      <name val="Calibri"/>
      <family val="2"/>
      <scheme val="minor"/>
    </font>
    <font>
      <vertAlign val="superscript"/>
      <sz val="11"/>
      <name val="Calibri"/>
      <family val="2"/>
      <scheme val="minor"/>
    </font>
    <font>
      <vertAlign val="subscript"/>
      <sz val="11"/>
      <name val="Calibri"/>
      <family val="2"/>
      <scheme val="minor"/>
    </font>
    <font>
      <vertAlign val="superscript"/>
      <sz val="11"/>
      <color theme="1"/>
      <name val="Calibri"/>
      <family val="2"/>
      <scheme val="minor"/>
    </font>
    <font>
      <vertAlign val="subscript"/>
      <sz val="11"/>
      <color theme="1"/>
      <name val="Calibri"/>
      <family val="2"/>
      <scheme val="minor"/>
    </font>
    <font>
      <b/>
      <sz val="11"/>
      <color rgb="FFFF0000"/>
      <name val="Calibri"/>
      <family val="2"/>
      <scheme val="minor"/>
    </font>
    <font>
      <b/>
      <sz val="11"/>
      <color rgb="FFFF0000"/>
      <name val="Calibri"/>
      <family val="2"/>
    </font>
    <font>
      <b/>
      <sz val="11"/>
      <color rgb="FFFF0000"/>
      <name val="Aptos Narrow"/>
      <family val="2"/>
    </font>
  </fonts>
  <fills count="4">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s>
  <borders count="2">
    <border>
      <left/>
      <right/>
      <top/>
      <bottom/>
      <diagonal/>
    </border>
    <border>
      <left/>
      <right/>
      <top/>
      <bottom style="thin">
        <color indexed="64"/>
      </bottom>
      <diagonal/>
    </border>
  </borders>
  <cellStyleXfs count="1">
    <xf numFmtId="0" fontId="0" fillId="0" borderId="0"/>
  </cellStyleXfs>
  <cellXfs count="19">
    <xf numFmtId="0" fontId="0" fillId="0" borderId="0" xfId="0"/>
    <xf numFmtId="0" fontId="1" fillId="0" borderId="0" xfId="0" applyFont="1"/>
    <xf numFmtId="0" fontId="2" fillId="0" borderId="0" xfId="0" applyFont="1" applyAlignment="1">
      <alignment vertical="center"/>
    </xf>
    <xf numFmtId="0" fontId="0" fillId="2" borderId="0" xfId="0" applyFill="1"/>
    <xf numFmtId="164" fontId="0" fillId="2" borderId="0" xfId="0" applyNumberFormat="1" applyFill="1" applyAlignment="1">
      <alignment horizontal="center"/>
    </xf>
    <xf numFmtId="1" fontId="0" fillId="2" borderId="0" xfId="0" applyNumberFormat="1" applyFill="1"/>
    <xf numFmtId="2" fontId="0" fillId="2" borderId="0" xfId="0" applyNumberFormat="1" applyFill="1"/>
    <xf numFmtId="2" fontId="0" fillId="0" borderId="0" xfId="0" applyNumberFormat="1" applyAlignment="1">
      <alignment horizontal="center"/>
    </xf>
    <xf numFmtId="2" fontId="0" fillId="0" borderId="0" xfId="0" applyNumberFormat="1"/>
    <xf numFmtId="0" fontId="0" fillId="2" borderId="0" xfId="0" applyFill="1" applyAlignment="1">
      <alignment horizontal="center"/>
    </xf>
    <xf numFmtId="2" fontId="0" fillId="2" borderId="0" xfId="0" applyNumberFormat="1" applyFill="1" applyAlignment="1">
      <alignment horizontal="center"/>
    </xf>
    <xf numFmtId="0" fontId="0" fillId="0" borderId="0" xfId="0" applyAlignment="1">
      <alignment horizontal="center"/>
    </xf>
    <xf numFmtId="0" fontId="0" fillId="2" borderId="0" xfId="0" applyFill="1" applyAlignment="1">
      <alignment horizontal="center" vertical="center"/>
    </xf>
    <xf numFmtId="0" fontId="0" fillId="0" borderId="1" xfId="0" applyBorder="1"/>
    <xf numFmtId="0" fontId="2" fillId="0" borderId="1" xfId="0" applyFont="1" applyBorder="1" applyAlignment="1">
      <alignment vertical="center"/>
    </xf>
    <xf numFmtId="0" fontId="0" fillId="3" borderId="0" xfId="0" applyFill="1"/>
    <xf numFmtId="0" fontId="2" fillId="3" borderId="0" xfId="0" applyFont="1" applyFill="1" applyAlignment="1">
      <alignment vertical="center"/>
    </xf>
    <xf numFmtId="2" fontId="0" fillId="0" borderId="1" xfId="0" applyNumberFormat="1" applyBorder="1"/>
    <xf numFmtId="0" fontId="9" fillId="3" borderId="0" xfId="0" applyFont="1" applyFill="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495300</xdr:colOff>
      <xdr:row>23</xdr:row>
      <xdr:rowOff>167640</xdr:rowOff>
    </xdr:from>
    <xdr:to>
      <xdr:col>3</xdr:col>
      <xdr:colOff>381000</xdr:colOff>
      <xdr:row>26</xdr:row>
      <xdr:rowOff>133350</xdr:rowOff>
    </xdr:to>
    <xdr:sp macro="" textlink="">
      <xdr:nvSpPr>
        <xdr:cNvPr id="2" name="TextBox 1">
          <a:extLst>
            <a:ext uri="{FF2B5EF4-FFF2-40B4-BE49-F238E27FC236}">
              <a16:creationId xmlns:a16="http://schemas.microsoft.com/office/drawing/2014/main" id="{EA2C6AE1-BD7E-E356-ABBA-4AD697EA6AAF}"/>
            </a:ext>
          </a:extLst>
        </xdr:cNvPr>
        <xdr:cNvSpPr txBox="1"/>
      </xdr:nvSpPr>
      <xdr:spPr>
        <a:xfrm>
          <a:off x="495300" y="3787140"/>
          <a:ext cx="3476625" cy="508635"/>
        </a:xfrm>
        <a:prstGeom prst="rect">
          <a:avLst/>
        </a:prstGeom>
        <a:solidFill>
          <a:schemeClr val="lt1"/>
        </a:solidFill>
        <a:ln w="285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0000"/>
              </a:solidFill>
            </a:rPr>
            <a:t>Recordar que el tiempo de concentración adoptado debe ser de 10 minutos como mínimo</a:t>
          </a:r>
          <a:r>
            <a:rPr lang="en-US" sz="1100" b="1" baseline="0">
              <a:solidFill>
                <a:srgbClr val="FF0000"/>
              </a:solidFill>
            </a:rPr>
            <a:t> (0.167 hr aprox.)</a:t>
          </a:r>
          <a:endParaRPr lang="en-US" sz="1100" b="1">
            <a:solidFill>
              <a:srgbClr val="FF0000"/>
            </a:solidFill>
          </a:endParaRPr>
        </a:p>
      </xdr:txBody>
    </xdr:sp>
    <xdr:clientData/>
  </xdr:twoCellAnchor>
  <xdr:twoCellAnchor>
    <xdr:from>
      <xdr:col>16</xdr:col>
      <xdr:colOff>0</xdr:colOff>
      <xdr:row>30</xdr:row>
      <xdr:rowOff>0</xdr:rowOff>
    </xdr:from>
    <xdr:to>
      <xdr:col>21</xdr:col>
      <xdr:colOff>476250</xdr:colOff>
      <xdr:row>39</xdr:row>
      <xdr:rowOff>19050</xdr:rowOff>
    </xdr:to>
    <xdr:sp macro="" textlink="">
      <xdr:nvSpPr>
        <xdr:cNvPr id="3" name="TextBox 2">
          <a:extLst>
            <a:ext uri="{FF2B5EF4-FFF2-40B4-BE49-F238E27FC236}">
              <a16:creationId xmlns:a16="http://schemas.microsoft.com/office/drawing/2014/main" id="{02895390-1963-450B-B36C-E8BBB1F2E323}"/>
            </a:ext>
          </a:extLst>
        </xdr:cNvPr>
        <xdr:cNvSpPr txBox="1"/>
      </xdr:nvSpPr>
      <xdr:spPr>
        <a:xfrm>
          <a:off x="11487150" y="5429250"/>
          <a:ext cx="3476625" cy="1647825"/>
        </a:xfrm>
        <a:prstGeom prst="rect">
          <a:avLst/>
        </a:prstGeom>
        <a:solidFill>
          <a:schemeClr val="lt1"/>
        </a:solidFill>
        <a:ln w="285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0000"/>
              </a:solidFill>
            </a:rPr>
            <a:t>La fórmula para</a:t>
          </a:r>
          <a:r>
            <a:rPr lang="en-US" sz="1100" b="1" baseline="0">
              <a:solidFill>
                <a:srgbClr val="FF0000"/>
              </a:solidFill>
            </a:rPr>
            <a:t> obtener CD de Bell va a ser solamente válida para calcular precipitaciones máximas para tiempos de concentración menores a 1 hora. Si el tiempo de concentración es mayor a 1 hora, entonces se debiese aplicar el CD correspondiente al tiempo de concentración (que puede ser obtenido mediante interpolación de valores tabulados de CD, seguramente no habrá valores tabulados para el tiempo de concentración especifico de la cuenca evaluada).</a:t>
          </a:r>
          <a:endParaRPr lang="en-US" sz="1100" b="1">
            <a:solidFill>
              <a:srgbClr val="FF0000"/>
            </a:solidFil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92"/>
  <sheetViews>
    <sheetView tabSelected="1" topLeftCell="A13" workbookViewId="0">
      <selection activeCell="F27" sqref="F27"/>
    </sheetView>
  </sheetViews>
  <sheetFormatPr defaultColWidth="8.77734375" defaultRowHeight="14.4" x14ac:dyDescent="0.3"/>
  <cols>
    <col min="1" max="1" width="32.44140625" bestFit="1" customWidth="1"/>
    <col min="2" max="2" width="9.6640625" bestFit="1" customWidth="1"/>
    <col min="3" max="4" width="10.109375" bestFit="1" customWidth="1"/>
  </cols>
  <sheetData>
    <row r="1" spans="1:15" s="15" customFormat="1" x14ac:dyDescent="0.3">
      <c r="A1" s="15" t="s">
        <v>0</v>
      </c>
    </row>
    <row r="2" spans="1:15" x14ac:dyDescent="0.3">
      <c r="A2" s="1" t="s">
        <v>1</v>
      </c>
      <c r="B2" s="1" t="s">
        <v>2</v>
      </c>
    </row>
    <row r="3" spans="1:15" x14ac:dyDescent="0.3">
      <c r="A3" s="2" t="s">
        <v>3</v>
      </c>
      <c r="C3" s="3"/>
      <c r="D3" s="3"/>
      <c r="E3" s="3"/>
      <c r="F3" s="3"/>
      <c r="G3" s="3"/>
      <c r="H3" s="3"/>
      <c r="I3" s="3"/>
      <c r="J3" s="3"/>
      <c r="K3" s="3"/>
      <c r="L3" s="3"/>
      <c r="M3" s="3"/>
      <c r="N3" s="3"/>
      <c r="O3" s="3"/>
    </row>
    <row r="4" spans="1:15" x14ac:dyDescent="0.3">
      <c r="A4" s="2" t="s">
        <v>4</v>
      </c>
      <c r="B4" t="s">
        <v>5</v>
      </c>
      <c r="C4" s="4"/>
      <c r="D4" s="4"/>
      <c r="E4" s="4"/>
      <c r="F4" s="4"/>
      <c r="G4" s="4"/>
      <c r="H4" s="4"/>
      <c r="I4" s="4"/>
      <c r="J4" s="4"/>
      <c r="K4" s="4"/>
      <c r="L4" s="4"/>
      <c r="M4" s="4"/>
      <c r="N4" s="4"/>
      <c r="O4" s="4"/>
    </row>
    <row r="5" spans="1:15" x14ac:dyDescent="0.3">
      <c r="A5" s="2" t="s">
        <v>6</v>
      </c>
      <c r="B5" t="s">
        <v>7</v>
      </c>
      <c r="C5" s="3"/>
      <c r="D5" s="3"/>
      <c r="E5" s="3"/>
      <c r="F5" s="3"/>
      <c r="G5" s="3"/>
      <c r="H5" s="3"/>
      <c r="I5" s="3"/>
      <c r="J5" s="3"/>
      <c r="K5" s="3"/>
      <c r="L5" s="3"/>
      <c r="M5" s="3"/>
      <c r="N5" s="3"/>
      <c r="O5" s="3"/>
    </row>
    <row r="6" spans="1:15" x14ac:dyDescent="0.3">
      <c r="A6" s="2" t="s">
        <v>8</v>
      </c>
      <c r="B6" t="s">
        <v>9</v>
      </c>
      <c r="C6" s="5"/>
      <c r="D6" s="5"/>
      <c r="E6" s="5"/>
      <c r="F6" s="5"/>
      <c r="G6" s="5"/>
      <c r="H6" s="5"/>
      <c r="I6" s="5"/>
      <c r="J6" s="5"/>
      <c r="K6" s="5"/>
      <c r="L6" s="5"/>
      <c r="M6" s="5"/>
      <c r="N6" s="5"/>
      <c r="O6" s="5"/>
    </row>
    <row r="7" spans="1:15" x14ac:dyDescent="0.3">
      <c r="A7" s="2" t="s">
        <v>10</v>
      </c>
      <c r="B7" t="s">
        <v>9</v>
      </c>
      <c r="C7" s="5"/>
      <c r="D7" s="5"/>
      <c r="E7" s="5"/>
      <c r="F7" s="5"/>
      <c r="G7" s="5"/>
      <c r="H7" s="5"/>
      <c r="I7" s="5"/>
      <c r="J7" s="5"/>
      <c r="K7" s="5"/>
      <c r="L7" s="5"/>
      <c r="M7" s="5"/>
      <c r="N7" s="5"/>
      <c r="O7" s="5"/>
    </row>
    <row r="8" spans="1:15" x14ac:dyDescent="0.3">
      <c r="A8" s="2" t="s">
        <v>11</v>
      </c>
      <c r="B8" t="s">
        <v>12</v>
      </c>
      <c r="C8" s="5"/>
      <c r="D8" s="5"/>
      <c r="E8" s="5"/>
      <c r="F8" s="5"/>
      <c r="G8" s="5"/>
      <c r="H8" s="5"/>
      <c r="I8" s="5"/>
      <c r="J8" s="5"/>
      <c r="K8" s="5"/>
      <c r="L8" s="5"/>
      <c r="M8" s="5"/>
      <c r="N8" s="5"/>
      <c r="O8" s="5"/>
    </row>
    <row r="9" spans="1:15" x14ac:dyDescent="0.3">
      <c r="A9" s="2" t="s">
        <v>13</v>
      </c>
      <c r="B9" t="s">
        <v>9</v>
      </c>
      <c r="C9" s="5"/>
      <c r="D9" s="5"/>
      <c r="E9" s="5"/>
      <c r="F9" s="5"/>
      <c r="G9" s="5"/>
      <c r="H9" s="5"/>
      <c r="I9" s="5"/>
      <c r="J9" s="5"/>
      <c r="K9" s="5"/>
      <c r="L9" s="5"/>
      <c r="M9" s="5"/>
      <c r="N9" s="5"/>
      <c r="O9" s="5"/>
    </row>
    <row r="10" spans="1:15" x14ac:dyDescent="0.3">
      <c r="A10" s="2" t="s">
        <v>14</v>
      </c>
      <c r="B10" t="s">
        <v>15</v>
      </c>
      <c r="C10" s="6"/>
      <c r="D10" s="6"/>
      <c r="E10" s="6"/>
      <c r="F10" s="6"/>
      <c r="G10" s="6"/>
      <c r="H10" s="6"/>
      <c r="I10" s="6"/>
      <c r="J10" s="6"/>
      <c r="K10" s="6"/>
      <c r="L10" s="6"/>
      <c r="M10" s="6"/>
      <c r="N10" s="6"/>
      <c r="O10" s="6"/>
    </row>
    <row r="11" spans="1:15" x14ac:dyDescent="0.3">
      <c r="A11" s="2" t="s">
        <v>16</v>
      </c>
      <c r="B11" t="s">
        <v>17</v>
      </c>
      <c r="C11" s="6"/>
      <c r="D11" s="6"/>
      <c r="E11" s="6"/>
      <c r="F11" s="6"/>
      <c r="G11" s="6"/>
      <c r="H11" s="6"/>
      <c r="I11" s="6"/>
      <c r="J11" s="6"/>
      <c r="K11" s="6"/>
      <c r="L11" s="6"/>
      <c r="M11" s="6"/>
      <c r="N11" s="6"/>
      <c r="O11" s="6"/>
    </row>
    <row r="12" spans="1:15" x14ac:dyDescent="0.3">
      <c r="A12" s="2" t="s">
        <v>18</v>
      </c>
      <c r="B12" t="s">
        <v>17</v>
      </c>
      <c r="C12" s="6"/>
      <c r="D12" s="6"/>
      <c r="E12" s="3"/>
      <c r="F12" s="3"/>
      <c r="G12" s="3"/>
      <c r="H12" s="3"/>
      <c r="I12" s="3"/>
      <c r="J12" s="3"/>
      <c r="K12" s="3"/>
      <c r="L12" s="3"/>
      <c r="M12" s="3"/>
      <c r="N12" s="3"/>
      <c r="O12" s="3"/>
    </row>
    <row r="13" spans="1:15" x14ac:dyDescent="0.3">
      <c r="A13" s="2" t="s">
        <v>19</v>
      </c>
      <c r="B13" t="s">
        <v>20</v>
      </c>
      <c r="C13" s="5"/>
      <c r="D13" s="5"/>
      <c r="E13" s="3"/>
      <c r="F13" s="3"/>
      <c r="G13" s="3"/>
      <c r="H13" s="3"/>
      <c r="I13" s="3"/>
      <c r="J13" s="3"/>
      <c r="K13" s="3"/>
      <c r="L13" s="3"/>
      <c r="M13" s="3"/>
      <c r="N13" s="3"/>
      <c r="O13" s="3"/>
    </row>
    <row r="14" spans="1:15" x14ac:dyDescent="0.3">
      <c r="A14" s="2"/>
    </row>
    <row r="15" spans="1:15" s="13" customFormat="1" x14ac:dyDescent="0.3">
      <c r="A15" s="14"/>
    </row>
    <row r="16" spans="1:15" s="15" customFormat="1" x14ac:dyDescent="0.3">
      <c r="A16" s="16" t="s">
        <v>21</v>
      </c>
    </row>
    <row r="17" spans="1:15" x14ac:dyDescent="0.3">
      <c r="A17" s="1" t="s">
        <v>22</v>
      </c>
      <c r="B17" s="1" t="s">
        <v>2</v>
      </c>
    </row>
    <row r="18" spans="1:15" x14ac:dyDescent="0.3">
      <c r="A18" t="s">
        <v>23</v>
      </c>
      <c r="B18" t="s">
        <v>24</v>
      </c>
      <c r="C18" s="7" t="str">
        <f t="shared" ref="C18:O18" si="0">IF(OR(C11="",C8=""),"",IF(OR(C11&lt;=0,C8&lt;=0),"",0.95*((C11^3)/C8)^0.385))</f>
        <v/>
      </c>
      <c r="D18" s="7" t="str">
        <f t="shared" si="0"/>
        <v/>
      </c>
      <c r="E18" s="7" t="str">
        <f t="shared" si="0"/>
        <v/>
      </c>
      <c r="F18" s="7" t="str">
        <f t="shared" si="0"/>
        <v/>
      </c>
      <c r="G18" s="7" t="str">
        <f t="shared" si="0"/>
        <v/>
      </c>
      <c r="H18" s="7" t="str">
        <f t="shared" si="0"/>
        <v/>
      </c>
      <c r="I18" s="7" t="str">
        <f t="shared" si="0"/>
        <v/>
      </c>
      <c r="J18" s="7" t="str">
        <f t="shared" si="0"/>
        <v/>
      </c>
      <c r="K18" s="7" t="str">
        <f t="shared" si="0"/>
        <v/>
      </c>
      <c r="L18" s="7" t="str">
        <f t="shared" si="0"/>
        <v/>
      </c>
      <c r="M18" s="7" t="str">
        <f t="shared" si="0"/>
        <v/>
      </c>
      <c r="N18" s="7" t="str">
        <f t="shared" si="0"/>
        <v/>
      </c>
      <c r="O18" s="7" t="str">
        <f t="shared" si="0"/>
        <v/>
      </c>
    </row>
    <row r="19" spans="1:15" x14ac:dyDescent="0.3">
      <c r="A19" t="s">
        <v>25</v>
      </c>
      <c r="B19" t="s">
        <v>24</v>
      </c>
      <c r="C19" s="7" t="str">
        <f t="shared" ref="C19:O19" si="1">IF(OR(C4="",C11="",C9="",C6=""),"",IF(OR(C4&lt;=0,C11&lt;=0,C9&lt;=C6),"",(4*SQRT(C4)+1.5*C11)/(0.8*SQRT(C9-C6))))</f>
        <v/>
      </c>
      <c r="D19" s="7" t="str">
        <f t="shared" si="1"/>
        <v/>
      </c>
      <c r="E19" s="7" t="str">
        <f t="shared" si="1"/>
        <v/>
      </c>
      <c r="F19" s="7" t="str">
        <f t="shared" si="1"/>
        <v/>
      </c>
      <c r="G19" s="7" t="str">
        <f t="shared" si="1"/>
        <v/>
      </c>
      <c r="H19" s="7" t="str">
        <f t="shared" si="1"/>
        <v/>
      </c>
      <c r="I19" s="7" t="str">
        <f t="shared" si="1"/>
        <v/>
      </c>
      <c r="J19" s="7" t="str">
        <f t="shared" si="1"/>
        <v/>
      </c>
      <c r="K19" s="7" t="str">
        <f t="shared" si="1"/>
        <v/>
      </c>
      <c r="L19" s="7" t="str">
        <f t="shared" si="1"/>
        <v/>
      </c>
      <c r="M19" s="7" t="str">
        <f t="shared" si="1"/>
        <v/>
      </c>
      <c r="N19" s="7" t="str">
        <f t="shared" si="1"/>
        <v/>
      </c>
      <c r="O19" s="7" t="str">
        <f t="shared" si="1"/>
        <v/>
      </c>
    </row>
    <row r="20" spans="1:15" x14ac:dyDescent="0.3">
      <c r="A20" t="s">
        <v>26</v>
      </c>
      <c r="B20" t="s">
        <v>24</v>
      </c>
      <c r="C20" s="7" t="str">
        <f t="shared" ref="C20:O20" si="2">IF(OR(C11="",C5="",C10=""),"",IF(OR(C11&lt;=0,C10&lt;=0,C5&lt;=0,C5&gt;100),"",((100*((C11*1000/0.3048)^0.8)*(((1000/C5)-9)^0.7))/(1900*SQRT(C10*100)))/60))</f>
        <v/>
      </c>
      <c r="D20" s="7" t="str">
        <f t="shared" si="2"/>
        <v/>
      </c>
      <c r="E20" s="7" t="str">
        <f t="shared" si="2"/>
        <v/>
      </c>
      <c r="F20" s="7" t="str">
        <f t="shared" si="2"/>
        <v/>
      </c>
      <c r="G20" s="7" t="str">
        <f t="shared" si="2"/>
        <v/>
      </c>
      <c r="H20" s="7" t="str">
        <f t="shared" si="2"/>
        <v/>
      </c>
      <c r="I20" s="7" t="str">
        <f t="shared" si="2"/>
        <v/>
      </c>
      <c r="J20" s="7" t="str">
        <f t="shared" si="2"/>
        <v/>
      </c>
      <c r="K20" s="7" t="str">
        <f t="shared" si="2"/>
        <v/>
      </c>
      <c r="L20" s="7" t="str">
        <f t="shared" si="2"/>
        <v/>
      </c>
      <c r="M20" s="7" t="str">
        <f t="shared" si="2"/>
        <v/>
      </c>
      <c r="N20" s="7" t="str">
        <f t="shared" si="2"/>
        <v/>
      </c>
      <c r="O20" s="7" t="str">
        <f t="shared" si="2"/>
        <v/>
      </c>
    </row>
    <row r="21" spans="1:15" x14ac:dyDescent="0.3">
      <c r="A21" t="s">
        <v>27</v>
      </c>
      <c r="B21" t="s">
        <v>24</v>
      </c>
      <c r="C21" s="7" t="str">
        <f t="shared" ref="C21:O21" si="3">IF(OR(C11="",C10=""),"",IF(OR(C11&lt;=0,C10&lt;=0),"",(18*(C11^0.76)/(C10^0.19))/60))</f>
        <v/>
      </c>
      <c r="D21" s="7" t="str">
        <f t="shared" si="3"/>
        <v/>
      </c>
      <c r="E21" s="7" t="str">
        <f t="shared" si="3"/>
        <v/>
      </c>
      <c r="F21" s="7" t="str">
        <f t="shared" si="3"/>
        <v/>
      </c>
      <c r="G21" s="7" t="str">
        <f t="shared" si="3"/>
        <v/>
      </c>
      <c r="H21" s="7" t="str">
        <f t="shared" si="3"/>
        <v/>
      </c>
      <c r="I21" s="7" t="str">
        <f t="shared" si="3"/>
        <v/>
      </c>
      <c r="J21" s="7" t="str">
        <f t="shared" si="3"/>
        <v/>
      </c>
      <c r="K21" s="7" t="str">
        <f t="shared" si="3"/>
        <v/>
      </c>
      <c r="L21" s="7" t="str">
        <f t="shared" si="3"/>
        <v/>
      </c>
      <c r="M21" s="7" t="str">
        <f t="shared" si="3"/>
        <v/>
      </c>
      <c r="N21" s="7" t="str">
        <f t="shared" si="3"/>
        <v/>
      </c>
      <c r="O21" s="7" t="str">
        <f t="shared" si="3"/>
        <v/>
      </c>
    </row>
    <row r="22" spans="1:15" x14ac:dyDescent="0.3">
      <c r="A22" t="s">
        <v>28</v>
      </c>
      <c r="B22" t="s">
        <v>24</v>
      </c>
      <c r="C22" s="7" t="str">
        <f>IF(OR(C11="",C13=""),"",IF(OR(C11&lt;=0,C13&lt;=0),"",C11/(3.6*C13)))</f>
        <v/>
      </c>
      <c r="D22" s="7" t="str">
        <f t="shared" ref="D22:O22" si="4">IF(OR(D11="",D13=""),"",IF(OR(D11&lt;=0,D13&lt;=0),"",D11/(3.6*D13)))</f>
        <v/>
      </c>
      <c r="E22" s="7" t="str">
        <f t="shared" si="4"/>
        <v/>
      </c>
      <c r="F22" s="7" t="str">
        <f t="shared" si="4"/>
        <v/>
      </c>
      <c r="G22" s="7" t="str">
        <f t="shared" si="4"/>
        <v/>
      </c>
      <c r="H22" s="7" t="str">
        <f t="shared" si="4"/>
        <v/>
      </c>
      <c r="I22" s="7" t="str">
        <f t="shared" si="4"/>
        <v/>
      </c>
      <c r="J22" s="7" t="str">
        <f t="shared" si="4"/>
        <v/>
      </c>
      <c r="K22" s="7" t="str">
        <f t="shared" si="4"/>
        <v/>
      </c>
      <c r="L22" s="7" t="str">
        <f t="shared" si="4"/>
        <v/>
      </c>
      <c r="M22" s="7" t="str">
        <f t="shared" si="4"/>
        <v/>
      </c>
      <c r="N22" s="7" t="str">
        <f t="shared" si="4"/>
        <v/>
      </c>
      <c r="O22" s="7" t="str">
        <f t="shared" si="4"/>
        <v/>
      </c>
    </row>
    <row r="23" spans="1:15" x14ac:dyDescent="0.3">
      <c r="A23" s="2" t="s">
        <v>29</v>
      </c>
      <c r="B23" t="s">
        <v>24</v>
      </c>
      <c r="C23" s="10"/>
      <c r="D23" s="9"/>
      <c r="E23" s="10"/>
      <c r="F23" s="10"/>
      <c r="G23" s="10"/>
      <c r="H23" s="10"/>
      <c r="I23" s="10"/>
      <c r="J23" s="10"/>
      <c r="K23" s="10"/>
      <c r="L23" s="10"/>
      <c r="M23" s="10"/>
      <c r="N23" s="10"/>
      <c r="O23" s="10"/>
    </row>
    <row r="24" spans="1:15" x14ac:dyDescent="0.3">
      <c r="C24" s="7"/>
      <c r="D24" s="7" t="str">
        <f t="shared" ref="D24:O24" si="5">IF(OR(D20="",D17=""),"",IF(OR(D20&lt;=0,D17&lt;=0),"",0.95*((D20^3)/D17)^0.385))</f>
        <v/>
      </c>
      <c r="E24" s="7" t="str">
        <f t="shared" si="5"/>
        <v/>
      </c>
      <c r="F24" s="7" t="str">
        <f t="shared" si="5"/>
        <v/>
      </c>
      <c r="G24" s="7" t="str">
        <f t="shared" si="5"/>
        <v/>
      </c>
      <c r="H24" s="7" t="str">
        <f t="shared" si="5"/>
        <v/>
      </c>
      <c r="I24" s="7" t="str">
        <f t="shared" si="5"/>
        <v/>
      </c>
      <c r="J24" s="7" t="str">
        <f t="shared" si="5"/>
        <v/>
      </c>
      <c r="K24" s="7" t="str">
        <f t="shared" si="5"/>
        <v/>
      </c>
      <c r="L24" s="7" t="str">
        <f t="shared" si="5"/>
        <v/>
      </c>
      <c r="M24" s="7" t="str">
        <f t="shared" si="5"/>
        <v/>
      </c>
      <c r="N24" s="7" t="str">
        <f t="shared" si="5"/>
        <v/>
      </c>
      <c r="O24" s="7" t="str">
        <f t="shared" si="5"/>
        <v/>
      </c>
    </row>
    <row r="28" spans="1:15" s="13" customFormat="1" x14ac:dyDescent="0.3"/>
    <row r="29" spans="1:15" s="15" customFormat="1" x14ac:dyDescent="0.3">
      <c r="A29" s="16" t="s">
        <v>30</v>
      </c>
    </row>
    <row r="30" spans="1:15" x14ac:dyDescent="0.3">
      <c r="A30" s="1" t="s">
        <v>1</v>
      </c>
      <c r="B30" s="1" t="s">
        <v>2</v>
      </c>
    </row>
    <row r="31" spans="1:15" x14ac:dyDescent="0.3">
      <c r="A31" s="2" t="s">
        <v>3</v>
      </c>
      <c r="C31" t="str">
        <f>IF(ISBLANK(Calculos!C3),"",Calculos!C3)</f>
        <v/>
      </c>
      <c r="D31" t="str">
        <f>IF(ISBLANK(Calculos!D3),"",Calculos!D3)</f>
        <v/>
      </c>
      <c r="E31" t="str">
        <f>IF(ISBLANK(Calculos!E3),"",Calculos!E3)</f>
        <v/>
      </c>
      <c r="F31" t="str">
        <f>IF(ISBLANK(Calculos!F3),"",Calculos!F3)</f>
        <v/>
      </c>
      <c r="G31" t="str">
        <f>IF(ISBLANK(Calculos!G3),"",Calculos!G3)</f>
        <v/>
      </c>
      <c r="H31" t="str">
        <f>IF(ISBLANK(Calculos!H3),"",Calculos!H3)</f>
        <v/>
      </c>
      <c r="I31" t="str">
        <f>IF(ISBLANK(Calculos!I3),"",Calculos!I3)</f>
        <v/>
      </c>
      <c r="J31" t="str">
        <f>IF(ISBLANK(Calculos!J3),"",Calculos!J3)</f>
        <v/>
      </c>
      <c r="K31" t="str">
        <f>IF(ISBLANK(Calculos!K3),"",Calculos!K3)</f>
        <v/>
      </c>
      <c r="L31" t="str">
        <f>IF(ISBLANK(Calculos!L3),"",Calculos!L3)</f>
        <v/>
      </c>
      <c r="M31" t="str">
        <f>IF(ISBLANK(Calculos!M3),"",Calculos!M3)</f>
        <v/>
      </c>
      <c r="N31" t="str">
        <f>IF(ISBLANK(Calculos!N3),"",Calculos!N3)</f>
        <v/>
      </c>
      <c r="O31" t="str">
        <f>IF(ISBLANK(Calculos!O3),"",Calculos!O3)</f>
        <v/>
      </c>
    </row>
    <row r="32" spans="1:15" x14ac:dyDescent="0.3">
      <c r="A32" s="2" t="s">
        <v>31</v>
      </c>
      <c r="B32" t="s">
        <v>7</v>
      </c>
      <c r="C32" s="9"/>
      <c r="D32" s="9"/>
      <c r="E32" s="9"/>
      <c r="F32" s="9"/>
      <c r="G32" s="9"/>
      <c r="H32" s="9"/>
      <c r="I32" s="9"/>
      <c r="J32" s="9"/>
      <c r="K32" s="9"/>
      <c r="L32" s="9"/>
      <c r="M32" s="9"/>
      <c r="N32" s="9"/>
      <c r="O32" s="9"/>
    </row>
    <row r="33" spans="1:15" x14ac:dyDescent="0.3">
      <c r="A33" s="2" t="s">
        <v>32</v>
      </c>
      <c r="B33" t="s">
        <v>7</v>
      </c>
      <c r="C33" s="9"/>
      <c r="D33" s="9"/>
      <c r="E33" s="10"/>
      <c r="F33" s="10"/>
      <c r="G33" s="10"/>
      <c r="H33" s="10"/>
      <c r="I33" s="10"/>
      <c r="J33" s="10"/>
      <c r="K33" s="10"/>
      <c r="L33" s="10"/>
      <c r="M33" s="10"/>
      <c r="N33" s="10"/>
      <c r="O33" s="10"/>
    </row>
    <row r="34" spans="1:15" x14ac:dyDescent="0.3">
      <c r="A34" s="2" t="s">
        <v>33</v>
      </c>
      <c r="B34" t="s">
        <v>7</v>
      </c>
      <c r="C34" s="9"/>
      <c r="D34" s="9"/>
      <c r="E34" s="10"/>
      <c r="F34" s="10"/>
      <c r="G34" s="10"/>
      <c r="H34" s="10"/>
      <c r="I34" s="10"/>
      <c r="J34" s="10"/>
      <c r="K34" s="10"/>
      <c r="L34" s="10"/>
      <c r="M34" s="10"/>
      <c r="N34" s="10"/>
      <c r="O34" s="10"/>
    </row>
    <row r="35" spans="1:15" x14ac:dyDescent="0.3">
      <c r="A35" s="2" t="s">
        <v>34</v>
      </c>
      <c r="B35" t="s">
        <v>7</v>
      </c>
      <c r="C35" s="9"/>
      <c r="D35" s="9"/>
      <c r="E35" s="10"/>
      <c r="F35" s="10"/>
      <c r="G35" s="10"/>
      <c r="H35" s="10"/>
      <c r="I35" s="10"/>
      <c r="J35" s="10"/>
      <c r="K35" s="10"/>
      <c r="L35" s="10"/>
      <c r="M35" s="10"/>
      <c r="N35" s="10"/>
      <c r="O35" s="10"/>
    </row>
    <row r="36" spans="1:15" x14ac:dyDescent="0.3">
      <c r="A36" s="2" t="s">
        <v>35</v>
      </c>
      <c r="B36" t="s">
        <v>7</v>
      </c>
      <c r="C36" s="9"/>
      <c r="D36" s="9"/>
      <c r="E36" s="10"/>
      <c r="F36" s="10"/>
      <c r="G36" s="10"/>
      <c r="H36" s="10"/>
      <c r="I36" s="10"/>
      <c r="J36" s="10"/>
      <c r="K36" s="10"/>
      <c r="L36" s="10"/>
      <c r="M36" s="10"/>
      <c r="N36" s="10"/>
      <c r="O36" s="10"/>
    </row>
    <row r="37" spans="1:15" x14ac:dyDescent="0.3">
      <c r="A37" s="2" t="s">
        <v>36</v>
      </c>
      <c r="B37" t="s">
        <v>7</v>
      </c>
      <c r="C37" s="11" t="str">
        <f>IF(OR(ISBLANK(C33),ISBLANK(C34),ISBLANK(C35),ISBLANK(C36)),"",SUM(C33:C36))</f>
        <v/>
      </c>
      <c r="D37" s="11" t="str">
        <f t="shared" ref="D37:O37" si="6">IF(OR(ISBLANK(D33),ISBLANK(D34),ISBLANK(D35),ISBLANK(D36)),"",SUM(D33:D36))</f>
        <v/>
      </c>
      <c r="E37" s="7" t="str">
        <f t="shared" si="6"/>
        <v/>
      </c>
      <c r="F37" s="7" t="str">
        <f>IF(OR(ISBLANK(F33),ISBLANK(F34),ISBLANK(F35),ISBLANK(F36)),"",SUM(F33:F36))</f>
        <v/>
      </c>
      <c r="G37" s="7" t="str">
        <f t="shared" si="6"/>
        <v/>
      </c>
      <c r="H37" s="7" t="str">
        <f t="shared" si="6"/>
        <v/>
      </c>
      <c r="I37" s="7" t="str">
        <f t="shared" si="6"/>
        <v/>
      </c>
      <c r="J37" s="7" t="str">
        <f t="shared" si="6"/>
        <v/>
      </c>
      <c r="K37" s="7" t="str">
        <f t="shared" si="6"/>
        <v/>
      </c>
      <c r="L37" s="7" t="str">
        <f t="shared" si="6"/>
        <v/>
      </c>
      <c r="M37" s="7" t="str">
        <f t="shared" si="6"/>
        <v/>
      </c>
      <c r="N37" s="7" t="str">
        <f t="shared" si="6"/>
        <v/>
      </c>
      <c r="O37" s="7" t="str">
        <f t="shared" si="6"/>
        <v/>
      </c>
    </row>
    <row r="38" spans="1:15" x14ac:dyDescent="0.3">
      <c r="A38" s="2" t="s">
        <v>37</v>
      </c>
      <c r="B38" t="s">
        <v>7</v>
      </c>
      <c r="C38" s="7" t="str">
        <f>IF((C23&lt;=0),"",0.54*(C23*60)^0.25-0.5)</f>
        <v/>
      </c>
      <c r="D38" s="7" t="str">
        <f t="shared" ref="D38:O38" si="7">IF((D23&lt;=0),"",0.54*(D23*60)^0.25-0.5)</f>
        <v/>
      </c>
      <c r="E38" s="7" t="str">
        <f>IF((E23&lt;=0),"",0.54*(E23*60)^0.25-0.5)</f>
        <v/>
      </c>
      <c r="F38" s="7" t="str">
        <f t="shared" si="7"/>
        <v/>
      </c>
      <c r="G38" s="7" t="str">
        <f t="shared" si="7"/>
        <v/>
      </c>
      <c r="H38" s="7" t="str">
        <f t="shared" si="7"/>
        <v/>
      </c>
      <c r="I38" s="7" t="str">
        <f t="shared" si="7"/>
        <v/>
      </c>
      <c r="J38" s="7" t="str">
        <f t="shared" si="7"/>
        <v/>
      </c>
      <c r="K38" s="7" t="str">
        <f t="shared" si="7"/>
        <v/>
      </c>
      <c r="L38" s="7" t="str">
        <f t="shared" si="7"/>
        <v/>
      </c>
      <c r="M38" s="7" t="str">
        <f t="shared" si="7"/>
        <v/>
      </c>
      <c r="N38" s="7" t="str">
        <f t="shared" si="7"/>
        <v/>
      </c>
      <c r="O38" s="7" t="str">
        <f t="shared" si="7"/>
        <v/>
      </c>
    </row>
    <row r="39" spans="1:15" s="13" customFormat="1" x14ac:dyDescent="0.3"/>
    <row r="40" spans="1:15" s="15" customFormat="1" ht="16.2" x14ac:dyDescent="0.3">
      <c r="A40" s="16" t="s">
        <v>38</v>
      </c>
    </row>
    <row r="41" spans="1:15" ht="16.8" x14ac:dyDescent="0.35">
      <c r="B41" s="1" t="s">
        <v>39</v>
      </c>
    </row>
    <row r="42" spans="1:15" x14ac:dyDescent="0.3">
      <c r="B42" s="1" t="s">
        <v>40</v>
      </c>
      <c r="C42" s="1" t="str">
        <f>IF(ISBLANK(C3),"",C3)</f>
        <v/>
      </c>
      <c r="D42" s="1" t="str">
        <f t="shared" ref="D42:O42" si="8">IF(ISBLANK(D3),"",D3)</f>
        <v/>
      </c>
      <c r="E42" s="1" t="str">
        <f t="shared" si="8"/>
        <v/>
      </c>
      <c r="F42" s="1" t="str">
        <f t="shared" si="8"/>
        <v/>
      </c>
      <c r="G42" s="1" t="str">
        <f t="shared" si="8"/>
        <v/>
      </c>
      <c r="H42" s="1" t="str">
        <f t="shared" si="8"/>
        <v/>
      </c>
      <c r="I42" s="1" t="str">
        <f t="shared" si="8"/>
        <v/>
      </c>
      <c r="J42" s="1" t="str">
        <f t="shared" si="8"/>
        <v/>
      </c>
      <c r="K42" s="1" t="str">
        <f t="shared" si="8"/>
        <v/>
      </c>
      <c r="L42" s="1" t="str">
        <f t="shared" si="8"/>
        <v/>
      </c>
      <c r="M42" s="1" t="str">
        <f t="shared" si="8"/>
        <v/>
      </c>
      <c r="N42" s="1" t="str">
        <f t="shared" si="8"/>
        <v/>
      </c>
      <c r="O42" s="1" t="str">
        <f t="shared" si="8"/>
        <v/>
      </c>
    </row>
    <row r="43" spans="1:15" x14ac:dyDescent="0.3">
      <c r="B43" s="12"/>
      <c r="C43" s="10"/>
      <c r="D43" s="10"/>
      <c r="E43" s="10"/>
      <c r="F43" s="10"/>
      <c r="G43" s="10"/>
      <c r="H43" s="10"/>
      <c r="I43" s="10"/>
      <c r="J43" s="10"/>
      <c r="K43" s="10"/>
      <c r="L43" s="10"/>
      <c r="M43" s="10"/>
      <c r="N43" s="10"/>
      <c r="O43" s="10"/>
    </row>
    <row r="44" spans="1:15" x14ac:dyDescent="0.3">
      <c r="B44" s="12"/>
      <c r="C44" s="10"/>
      <c r="D44" s="10"/>
      <c r="E44" s="10"/>
      <c r="F44" s="10"/>
      <c r="G44" s="10"/>
      <c r="H44" s="10"/>
      <c r="I44" s="10"/>
      <c r="J44" s="10"/>
      <c r="K44" s="10"/>
      <c r="L44" s="10"/>
      <c r="M44" s="10"/>
      <c r="N44" s="10"/>
      <c r="O44" s="10"/>
    </row>
    <row r="45" spans="1:15" x14ac:dyDescent="0.3">
      <c r="B45" s="12"/>
      <c r="C45" s="10"/>
      <c r="D45" s="10"/>
      <c r="E45" s="10"/>
      <c r="F45" s="10"/>
      <c r="G45" s="10"/>
      <c r="H45" s="10"/>
      <c r="I45" s="10"/>
      <c r="J45" s="10"/>
      <c r="K45" s="10"/>
      <c r="L45" s="10"/>
      <c r="M45" s="10"/>
      <c r="N45" s="10"/>
      <c r="O45" s="10"/>
    </row>
    <row r="46" spans="1:15" x14ac:dyDescent="0.3">
      <c r="B46" s="12"/>
      <c r="C46" s="10"/>
      <c r="D46" s="10"/>
      <c r="E46" s="10"/>
      <c r="F46" s="10"/>
      <c r="G46" s="10"/>
      <c r="H46" s="10"/>
      <c r="I46" s="10"/>
      <c r="J46" s="10"/>
      <c r="K46" s="10"/>
      <c r="L46" s="10"/>
      <c r="M46" s="10"/>
      <c r="N46" s="10"/>
      <c r="O46" s="10"/>
    </row>
    <row r="47" spans="1:15" x14ac:dyDescent="0.3">
      <c r="B47" s="12"/>
      <c r="C47" s="10"/>
      <c r="D47" s="10"/>
      <c r="E47" s="10"/>
      <c r="F47" s="10"/>
      <c r="G47" s="10"/>
      <c r="H47" s="10"/>
      <c r="I47" s="10"/>
      <c r="J47" s="10"/>
      <c r="K47" s="10"/>
      <c r="L47" s="10"/>
      <c r="M47" s="10"/>
      <c r="N47" s="10"/>
      <c r="O47" s="10"/>
    </row>
    <row r="48" spans="1:15" x14ac:dyDescent="0.3">
      <c r="B48" s="12"/>
      <c r="C48" s="10"/>
      <c r="D48" s="10"/>
      <c r="E48" s="10"/>
      <c r="F48" s="10"/>
      <c r="G48" s="10"/>
      <c r="H48" s="10"/>
      <c r="I48" s="10"/>
      <c r="J48" s="10"/>
      <c r="K48" s="10"/>
      <c r="L48" s="10"/>
      <c r="M48" s="10"/>
      <c r="N48" s="10"/>
      <c r="O48" s="10"/>
    </row>
    <row r="49" spans="1:15" x14ac:dyDescent="0.3">
      <c r="B49" s="12"/>
      <c r="C49" s="10"/>
      <c r="D49" s="10"/>
      <c r="E49" s="10"/>
      <c r="F49" s="10"/>
      <c r="G49" s="10"/>
      <c r="H49" s="10"/>
      <c r="I49" s="10"/>
      <c r="J49" s="10"/>
      <c r="K49" s="10"/>
      <c r="L49" s="10"/>
      <c r="M49" s="10"/>
      <c r="N49" s="10"/>
      <c r="O49" s="10"/>
    </row>
    <row r="50" spans="1:15" x14ac:dyDescent="0.3">
      <c r="B50" s="12"/>
      <c r="C50" s="10"/>
      <c r="D50" s="10"/>
      <c r="E50" s="10"/>
      <c r="F50" s="10"/>
      <c r="G50" s="10"/>
      <c r="H50" s="10"/>
      <c r="I50" s="10"/>
      <c r="J50" s="10"/>
      <c r="K50" s="10"/>
      <c r="L50" s="10"/>
      <c r="M50" s="10"/>
      <c r="N50" s="10"/>
      <c r="O50" s="10"/>
    </row>
    <row r="51" spans="1:15" x14ac:dyDescent="0.3">
      <c r="B51" s="12"/>
      <c r="C51" s="10"/>
      <c r="D51" s="10"/>
      <c r="E51" s="10"/>
      <c r="F51" s="10"/>
      <c r="G51" s="10"/>
      <c r="H51" s="10"/>
      <c r="I51" s="10"/>
      <c r="J51" s="10"/>
      <c r="K51" s="10"/>
      <c r="L51" s="10"/>
      <c r="M51" s="10"/>
      <c r="N51" s="10"/>
      <c r="O51" s="10"/>
    </row>
    <row r="52" spans="1:15" x14ac:dyDescent="0.3">
      <c r="B52" s="12"/>
      <c r="C52" s="10"/>
      <c r="D52" s="10"/>
      <c r="E52" s="10"/>
      <c r="F52" s="10"/>
      <c r="G52" s="10"/>
      <c r="H52" s="10"/>
      <c r="I52" s="10"/>
      <c r="J52" s="10"/>
      <c r="K52" s="10"/>
      <c r="L52" s="10"/>
      <c r="M52" s="10"/>
      <c r="N52" s="10"/>
      <c r="O52" s="10"/>
    </row>
    <row r="53" spans="1:15" s="13" customFormat="1" x14ac:dyDescent="0.3"/>
    <row r="54" spans="1:15" s="15" customFormat="1" x14ac:dyDescent="0.3">
      <c r="A54" s="16" t="s">
        <v>41</v>
      </c>
    </row>
    <row r="55" spans="1:15" x14ac:dyDescent="0.3">
      <c r="B55" s="1" t="s">
        <v>42</v>
      </c>
    </row>
    <row r="56" spans="1:15" x14ac:dyDescent="0.3">
      <c r="B56" s="1" t="s">
        <v>40</v>
      </c>
      <c r="C56" s="1" t="s">
        <v>43</v>
      </c>
    </row>
    <row r="57" spans="1:15" x14ac:dyDescent="0.3">
      <c r="B57" t="str">
        <f>IF(ISBLANK(B43),"",B43)</f>
        <v/>
      </c>
      <c r="C57" s="6"/>
    </row>
    <row r="58" spans="1:15" x14ac:dyDescent="0.3">
      <c r="B58" t="str">
        <f>IF(ISBLANK(B44),"",B44)</f>
        <v/>
      </c>
      <c r="C58" s="6"/>
    </row>
    <row r="59" spans="1:15" x14ac:dyDescent="0.3">
      <c r="B59" t="str">
        <f>IF(ISBLANK(B45),"",B45)</f>
        <v/>
      </c>
      <c r="C59" s="6"/>
    </row>
    <row r="60" spans="1:15" x14ac:dyDescent="0.3">
      <c r="B60" t="str">
        <f t="shared" ref="B60:B65" si="9">IF(ISBLANK(B46),"",B46)</f>
        <v/>
      </c>
      <c r="C60" s="6"/>
    </row>
    <row r="61" spans="1:15" x14ac:dyDescent="0.3">
      <c r="B61" t="str">
        <f t="shared" si="9"/>
        <v/>
      </c>
      <c r="C61" s="6"/>
    </row>
    <row r="62" spans="1:15" x14ac:dyDescent="0.3">
      <c r="B62" t="str">
        <f t="shared" si="9"/>
        <v/>
      </c>
      <c r="C62" s="6"/>
    </row>
    <row r="63" spans="1:15" x14ac:dyDescent="0.3">
      <c r="B63" t="str">
        <f t="shared" si="9"/>
        <v/>
      </c>
      <c r="C63" s="6"/>
    </row>
    <row r="64" spans="1:15" x14ac:dyDescent="0.3">
      <c r="B64" t="str">
        <f t="shared" si="9"/>
        <v/>
      </c>
      <c r="C64" s="3"/>
    </row>
    <row r="65" spans="1:15" x14ac:dyDescent="0.3">
      <c r="B65" t="str">
        <f t="shared" si="9"/>
        <v/>
      </c>
      <c r="C65" s="3"/>
    </row>
    <row r="66" spans="1:15" x14ac:dyDescent="0.3">
      <c r="B66" t="str">
        <f>IF(ISBLANK(B52),"",B52)</f>
        <v/>
      </c>
      <c r="C66" s="3"/>
    </row>
    <row r="67" spans="1:15" s="13" customFormat="1" x14ac:dyDescent="0.3"/>
    <row r="68" spans="1:15" s="15" customFormat="1" ht="16.2" x14ac:dyDescent="0.3">
      <c r="A68" s="16" t="s">
        <v>44</v>
      </c>
    </row>
    <row r="69" spans="1:15" ht="16.8" x14ac:dyDescent="0.35">
      <c r="B69" s="1" t="s">
        <v>45</v>
      </c>
    </row>
    <row r="70" spans="1:15" x14ac:dyDescent="0.3">
      <c r="B70" s="1" t="s">
        <v>40</v>
      </c>
      <c r="C70" s="1" t="str">
        <f>IF(ISBLANK(C3),"",C3)</f>
        <v/>
      </c>
      <c r="D70" s="1" t="str">
        <f t="shared" ref="D70:O70" si="10">IF(ISBLANK(D3),"",D3)</f>
        <v/>
      </c>
      <c r="E70" s="1" t="str">
        <f t="shared" si="10"/>
        <v/>
      </c>
      <c r="F70" s="1" t="str">
        <f t="shared" si="10"/>
        <v/>
      </c>
      <c r="G70" s="1" t="str">
        <f t="shared" si="10"/>
        <v/>
      </c>
      <c r="H70" s="1" t="str">
        <f t="shared" si="10"/>
        <v/>
      </c>
      <c r="I70" s="1" t="str">
        <f t="shared" si="10"/>
        <v/>
      </c>
      <c r="J70" s="1" t="str">
        <f t="shared" si="10"/>
        <v/>
      </c>
      <c r="K70" s="1" t="str">
        <f t="shared" si="10"/>
        <v/>
      </c>
      <c r="L70" s="1" t="str">
        <f t="shared" si="10"/>
        <v/>
      </c>
      <c r="M70" s="1" t="str">
        <f t="shared" si="10"/>
        <v/>
      </c>
      <c r="N70" s="1" t="str">
        <f t="shared" si="10"/>
        <v/>
      </c>
      <c r="O70" s="1" t="str">
        <f t="shared" si="10"/>
        <v/>
      </c>
    </row>
    <row r="71" spans="1:15" x14ac:dyDescent="0.3">
      <c r="B71" t="str">
        <f>IF(ISBLANK(B43),"",B43)</f>
        <v/>
      </c>
      <c r="C71" s="7">
        <f>C43/24</f>
        <v>0</v>
      </c>
      <c r="D71" s="7">
        <f t="shared" ref="D71:O71" si="11">D43/24</f>
        <v>0</v>
      </c>
      <c r="E71" s="7">
        <f t="shared" si="11"/>
        <v>0</v>
      </c>
      <c r="F71" s="7">
        <f t="shared" si="11"/>
        <v>0</v>
      </c>
      <c r="G71" s="7">
        <f t="shared" si="11"/>
        <v>0</v>
      </c>
      <c r="H71" s="7">
        <f t="shared" si="11"/>
        <v>0</v>
      </c>
      <c r="I71" s="7">
        <f t="shared" si="11"/>
        <v>0</v>
      </c>
      <c r="J71" s="7">
        <f t="shared" si="11"/>
        <v>0</v>
      </c>
      <c r="K71" s="7">
        <f t="shared" si="11"/>
        <v>0</v>
      </c>
      <c r="L71" s="7">
        <f t="shared" si="11"/>
        <v>0</v>
      </c>
      <c r="M71" s="7">
        <f t="shared" si="11"/>
        <v>0</v>
      </c>
      <c r="N71" s="7">
        <f t="shared" si="11"/>
        <v>0</v>
      </c>
      <c r="O71" s="7">
        <f t="shared" si="11"/>
        <v>0</v>
      </c>
    </row>
    <row r="72" spans="1:15" x14ac:dyDescent="0.3">
      <c r="B72" t="str">
        <f t="shared" ref="B72:B80" si="12">IF(ISBLANK(B44),"",B44)</f>
        <v/>
      </c>
      <c r="C72" s="7">
        <f t="shared" ref="C72:O80" si="13">C44/24</f>
        <v>0</v>
      </c>
      <c r="D72" s="7">
        <f t="shared" si="13"/>
        <v>0</v>
      </c>
      <c r="E72" s="7">
        <f t="shared" si="13"/>
        <v>0</v>
      </c>
      <c r="F72" s="7">
        <f t="shared" si="13"/>
        <v>0</v>
      </c>
      <c r="G72" s="7">
        <f t="shared" si="13"/>
        <v>0</v>
      </c>
      <c r="H72" s="7">
        <f t="shared" si="13"/>
        <v>0</v>
      </c>
      <c r="I72" s="7">
        <f t="shared" si="13"/>
        <v>0</v>
      </c>
      <c r="J72" s="7">
        <f t="shared" si="13"/>
        <v>0</v>
      </c>
      <c r="K72" s="7">
        <f t="shared" si="13"/>
        <v>0</v>
      </c>
      <c r="L72" s="7">
        <f t="shared" si="13"/>
        <v>0</v>
      </c>
      <c r="M72" s="7">
        <f t="shared" si="13"/>
        <v>0</v>
      </c>
      <c r="N72" s="7">
        <f t="shared" si="13"/>
        <v>0</v>
      </c>
      <c r="O72" s="7">
        <f t="shared" si="13"/>
        <v>0</v>
      </c>
    </row>
    <row r="73" spans="1:15" x14ac:dyDescent="0.3">
      <c r="B73" t="str">
        <f t="shared" si="12"/>
        <v/>
      </c>
      <c r="C73" s="7">
        <f t="shared" si="13"/>
        <v>0</v>
      </c>
      <c r="D73" s="7">
        <f t="shared" si="13"/>
        <v>0</v>
      </c>
      <c r="E73" s="7">
        <f t="shared" si="13"/>
        <v>0</v>
      </c>
      <c r="F73" s="7">
        <f>F45/24</f>
        <v>0</v>
      </c>
      <c r="G73" s="7">
        <f t="shared" si="13"/>
        <v>0</v>
      </c>
      <c r="H73" s="7">
        <f t="shared" si="13"/>
        <v>0</v>
      </c>
      <c r="I73" s="7">
        <f t="shared" si="13"/>
        <v>0</v>
      </c>
      <c r="J73" s="7">
        <f t="shared" si="13"/>
        <v>0</v>
      </c>
      <c r="K73" s="7">
        <f t="shared" si="13"/>
        <v>0</v>
      </c>
      <c r="L73" s="7">
        <f t="shared" si="13"/>
        <v>0</v>
      </c>
      <c r="M73" s="7">
        <f t="shared" si="13"/>
        <v>0</v>
      </c>
      <c r="N73" s="7">
        <f t="shared" si="13"/>
        <v>0</v>
      </c>
      <c r="O73" s="7">
        <f t="shared" si="13"/>
        <v>0</v>
      </c>
    </row>
    <row r="74" spans="1:15" x14ac:dyDescent="0.3">
      <c r="B74" t="str">
        <f t="shared" si="12"/>
        <v/>
      </c>
      <c r="C74" s="7">
        <f t="shared" si="13"/>
        <v>0</v>
      </c>
      <c r="D74" s="7">
        <f t="shared" si="13"/>
        <v>0</v>
      </c>
      <c r="E74" s="7">
        <f t="shared" si="13"/>
        <v>0</v>
      </c>
      <c r="F74" s="7">
        <f t="shared" si="13"/>
        <v>0</v>
      </c>
      <c r="G74" s="7">
        <f t="shared" si="13"/>
        <v>0</v>
      </c>
      <c r="H74" s="7">
        <f t="shared" si="13"/>
        <v>0</v>
      </c>
      <c r="I74" s="7">
        <f t="shared" si="13"/>
        <v>0</v>
      </c>
      <c r="J74" s="7">
        <f t="shared" si="13"/>
        <v>0</v>
      </c>
      <c r="K74" s="7">
        <f t="shared" si="13"/>
        <v>0</v>
      </c>
      <c r="L74" s="7">
        <f t="shared" si="13"/>
        <v>0</v>
      </c>
      <c r="M74" s="7">
        <f t="shared" si="13"/>
        <v>0</v>
      </c>
      <c r="N74" s="7">
        <f t="shared" si="13"/>
        <v>0</v>
      </c>
      <c r="O74" s="7">
        <f t="shared" si="13"/>
        <v>0</v>
      </c>
    </row>
    <row r="75" spans="1:15" x14ac:dyDescent="0.3">
      <c r="B75" t="str">
        <f t="shared" si="12"/>
        <v/>
      </c>
      <c r="C75" s="7">
        <f t="shared" si="13"/>
        <v>0</v>
      </c>
      <c r="D75" s="7">
        <f t="shared" si="13"/>
        <v>0</v>
      </c>
      <c r="E75" s="7">
        <f t="shared" si="13"/>
        <v>0</v>
      </c>
      <c r="F75" s="7">
        <f t="shared" si="13"/>
        <v>0</v>
      </c>
      <c r="G75" s="7">
        <f t="shared" si="13"/>
        <v>0</v>
      </c>
      <c r="H75" s="7">
        <f t="shared" si="13"/>
        <v>0</v>
      </c>
      <c r="I75" s="7">
        <f t="shared" si="13"/>
        <v>0</v>
      </c>
      <c r="J75" s="7">
        <f t="shared" si="13"/>
        <v>0</v>
      </c>
      <c r="K75" s="7">
        <f t="shared" si="13"/>
        <v>0</v>
      </c>
      <c r="L75" s="7">
        <f t="shared" si="13"/>
        <v>0</v>
      </c>
      <c r="M75" s="7">
        <f t="shared" si="13"/>
        <v>0</v>
      </c>
      <c r="N75" s="7">
        <f t="shared" si="13"/>
        <v>0</v>
      </c>
      <c r="O75" s="7">
        <f t="shared" si="13"/>
        <v>0</v>
      </c>
    </row>
    <row r="76" spans="1:15" x14ac:dyDescent="0.3">
      <c r="B76" t="str">
        <f t="shared" si="12"/>
        <v/>
      </c>
      <c r="C76" s="7">
        <f t="shared" si="13"/>
        <v>0</v>
      </c>
      <c r="D76" s="7">
        <f t="shared" si="13"/>
        <v>0</v>
      </c>
      <c r="E76" s="7">
        <f t="shared" si="13"/>
        <v>0</v>
      </c>
      <c r="F76" s="7">
        <f t="shared" si="13"/>
        <v>0</v>
      </c>
      <c r="G76" s="7">
        <f t="shared" si="13"/>
        <v>0</v>
      </c>
      <c r="H76" s="7">
        <f t="shared" si="13"/>
        <v>0</v>
      </c>
      <c r="I76" s="7">
        <f t="shared" si="13"/>
        <v>0</v>
      </c>
      <c r="J76" s="7">
        <f t="shared" si="13"/>
        <v>0</v>
      </c>
      <c r="K76" s="7">
        <f t="shared" si="13"/>
        <v>0</v>
      </c>
      <c r="L76" s="7">
        <f t="shared" si="13"/>
        <v>0</v>
      </c>
      <c r="M76" s="7">
        <f t="shared" si="13"/>
        <v>0</v>
      </c>
      <c r="N76" s="7">
        <f t="shared" si="13"/>
        <v>0</v>
      </c>
      <c r="O76" s="7">
        <f t="shared" si="13"/>
        <v>0</v>
      </c>
    </row>
    <row r="77" spans="1:15" x14ac:dyDescent="0.3">
      <c r="B77" t="str">
        <f t="shared" si="12"/>
        <v/>
      </c>
      <c r="C77" s="7">
        <f t="shared" si="13"/>
        <v>0</v>
      </c>
      <c r="D77" s="7">
        <f>D49/24</f>
        <v>0</v>
      </c>
      <c r="E77" s="7">
        <f t="shared" si="13"/>
        <v>0</v>
      </c>
      <c r="F77" s="7">
        <f t="shared" si="13"/>
        <v>0</v>
      </c>
      <c r="G77" s="7">
        <f t="shared" si="13"/>
        <v>0</v>
      </c>
      <c r="H77" s="7">
        <f t="shared" si="13"/>
        <v>0</v>
      </c>
      <c r="I77" s="7">
        <f t="shared" si="13"/>
        <v>0</v>
      </c>
      <c r="J77" s="7">
        <f t="shared" si="13"/>
        <v>0</v>
      </c>
      <c r="K77" s="7">
        <f t="shared" si="13"/>
        <v>0</v>
      </c>
      <c r="L77" s="7">
        <f t="shared" si="13"/>
        <v>0</v>
      </c>
      <c r="M77" s="7">
        <f>M49/24</f>
        <v>0</v>
      </c>
      <c r="N77" s="7">
        <f t="shared" si="13"/>
        <v>0</v>
      </c>
      <c r="O77" s="7">
        <f t="shared" si="13"/>
        <v>0</v>
      </c>
    </row>
    <row r="78" spans="1:15" x14ac:dyDescent="0.3">
      <c r="B78" t="str">
        <f t="shared" si="12"/>
        <v/>
      </c>
      <c r="C78" s="7">
        <f t="shared" si="13"/>
        <v>0</v>
      </c>
      <c r="D78" s="7">
        <f t="shared" si="13"/>
        <v>0</v>
      </c>
      <c r="E78" s="7">
        <f t="shared" si="13"/>
        <v>0</v>
      </c>
      <c r="F78" s="7">
        <f t="shared" si="13"/>
        <v>0</v>
      </c>
      <c r="G78" s="7">
        <f t="shared" si="13"/>
        <v>0</v>
      </c>
      <c r="H78" s="7">
        <f t="shared" si="13"/>
        <v>0</v>
      </c>
      <c r="I78" s="7">
        <f t="shared" si="13"/>
        <v>0</v>
      </c>
      <c r="J78" s="7">
        <f t="shared" si="13"/>
        <v>0</v>
      </c>
      <c r="K78" s="7">
        <f t="shared" si="13"/>
        <v>0</v>
      </c>
      <c r="L78" s="7">
        <f t="shared" si="13"/>
        <v>0</v>
      </c>
      <c r="M78" s="7">
        <f t="shared" si="13"/>
        <v>0</v>
      </c>
      <c r="N78" s="7">
        <f t="shared" si="13"/>
        <v>0</v>
      </c>
      <c r="O78" s="7">
        <f t="shared" si="13"/>
        <v>0</v>
      </c>
    </row>
    <row r="79" spans="1:15" x14ac:dyDescent="0.3">
      <c r="B79" t="str">
        <f t="shared" si="12"/>
        <v/>
      </c>
      <c r="C79" s="7">
        <f t="shared" si="13"/>
        <v>0</v>
      </c>
      <c r="D79" s="7">
        <f t="shared" si="13"/>
        <v>0</v>
      </c>
      <c r="E79" s="7">
        <f t="shared" si="13"/>
        <v>0</v>
      </c>
      <c r="F79" s="7">
        <f t="shared" si="13"/>
        <v>0</v>
      </c>
      <c r="G79" s="7">
        <f t="shared" si="13"/>
        <v>0</v>
      </c>
      <c r="H79" s="7">
        <f t="shared" si="13"/>
        <v>0</v>
      </c>
      <c r="I79" s="7">
        <f t="shared" si="13"/>
        <v>0</v>
      </c>
      <c r="J79" s="7">
        <f t="shared" si="13"/>
        <v>0</v>
      </c>
      <c r="K79" s="7">
        <f t="shared" si="13"/>
        <v>0</v>
      </c>
      <c r="L79" s="7">
        <f t="shared" si="13"/>
        <v>0</v>
      </c>
      <c r="M79" s="7">
        <f t="shared" si="13"/>
        <v>0</v>
      </c>
      <c r="N79" s="7">
        <f t="shared" si="13"/>
        <v>0</v>
      </c>
      <c r="O79" s="7">
        <f t="shared" si="13"/>
        <v>0</v>
      </c>
    </row>
    <row r="80" spans="1:15" x14ac:dyDescent="0.3">
      <c r="B80" t="str">
        <f t="shared" si="12"/>
        <v/>
      </c>
      <c r="C80" s="7">
        <f t="shared" si="13"/>
        <v>0</v>
      </c>
      <c r="D80" s="7">
        <f t="shared" si="13"/>
        <v>0</v>
      </c>
      <c r="E80" s="7">
        <f t="shared" si="13"/>
        <v>0</v>
      </c>
      <c r="F80" s="7">
        <f t="shared" si="13"/>
        <v>0</v>
      </c>
      <c r="G80" s="7">
        <f t="shared" si="13"/>
        <v>0</v>
      </c>
      <c r="H80" s="7">
        <f t="shared" si="13"/>
        <v>0</v>
      </c>
      <c r="I80" s="7">
        <f t="shared" si="13"/>
        <v>0</v>
      </c>
      <c r="J80" s="7">
        <f t="shared" si="13"/>
        <v>0</v>
      </c>
      <c r="K80" s="7">
        <f t="shared" si="13"/>
        <v>0</v>
      </c>
      <c r="L80" s="7">
        <f t="shared" si="13"/>
        <v>0</v>
      </c>
      <c r="M80" s="7">
        <f t="shared" si="13"/>
        <v>0</v>
      </c>
      <c r="N80" s="7">
        <f t="shared" si="13"/>
        <v>0</v>
      </c>
      <c r="O80" s="7">
        <f t="shared" si="13"/>
        <v>0</v>
      </c>
    </row>
    <row r="81" spans="1:15" s="13" customFormat="1" x14ac:dyDescent="0.3"/>
    <row r="82" spans="1:15" s="15" customFormat="1" ht="16.2" x14ac:dyDescent="0.3">
      <c r="A82" s="16" t="s">
        <v>46</v>
      </c>
    </row>
    <row r="83" spans="1:15" ht="16.8" x14ac:dyDescent="0.35">
      <c r="B83" s="1" t="s">
        <v>47</v>
      </c>
    </row>
    <row r="84" spans="1:15" x14ac:dyDescent="0.3">
      <c r="B84" s="1" t="s">
        <v>40</v>
      </c>
      <c r="C84" s="1" t="str">
        <f>IF(ISBLANK(C3),"",C3)</f>
        <v/>
      </c>
      <c r="D84" s="1" t="str">
        <f t="shared" ref="D84:O84" si="14">IF(ISBLANK(D3),"",D3)</f>
        <v/>
      </c>
      <c r="E84" s="1" t="str">
        <f t="shared" si="14"/>
        <v/>
      </c>
      <c r="F84" s="1" t="str">
        <f t="shared" si="14"/>
        <v/>
      </c>
      <c r="G84" s="1" t="str">
        <f t="shared" si="14"/>
        <v/>
      </c>
      <c r="H84" s="1" t="str">
        <f t="shared" si="14"/>
        <v/>
      </c>
      <c r="I84" s="1" t="str">
        <f t="shared" si="14"/>
        <v/>
      </c>
      <c r="J84" s="1" t="str">
        <f t="shared" si="14"/>
        <v/>
      </c>
      <c r="K84" s="1" t="str">
        <f t="shared" si="14"/>
        <v/>
      </c>
      <c r="L84" s="1" t="str">
        <f t="shared" si="14"/>
        <v/>
      </c>
      <c r="M84" s="1" t="str">
        <f t="shared" si="14"/>
        <v/>
      </c>
      <c r="N84" s="1" t="str">
        <f t="shared" si="14"/>
        <v/>
      </c>
      <c r="O84" s="1" t="str">
        <f t="shared" si="14"/>
        <v/>
      </c>
    </row>
    <row r="85" spans="1:15" x14ac:dyDescent="0.3">
      <c r="B85" t="str">
        <f>IF(ISBLANK(B43),"",B43)</f>
        <v/>
      </c>
      <c r="C85" s="7">
        <f>C$32*C43</f>
        <v>0</v>
      </c>
      <c r="D85" s="7">
        <f>D$32*D43</f>
        <v>0</v>
      </c>
      <c r="E85" s="7">
        <f t="shared" ref="E85:O85" si="15">E$32*E43</f>
        <v>0</v>
      </c>
      <c r="F85" s="7">
        <f t="shared" si="15"/>
        <v>0</v>
      </c>
      <c r="G85" s="7">
        <f t="shared" si="15"/>
        <v>0</v>
      </c>
      <c r="H85" s="7">
        <f t="shared" si="15"/>
        <v>0</v>
      </c>
      <c r="I85" s="7">
        <f t="shared" si="15"/>
        <v>0</v>
      </c>
      <c r="J85" s="7">
        <f t="shared" si="15"/>
        <v>0</v>
      </c>
      <c r="K85" s="7">
        <f t="shared" si="15"/>
        <v>0</v>
      </c>
      <c r="L85" s="7">
        <f t="shared" si="15"/>
        <v>0</v>
      </c>
      <c r="M85" s="7">
        <f t="shared" si="15"/>
        <v>0</v>
      </c>
      <c r="N85" s="7">
        <f t="shared" si="15"/>
        <v>0</v>
      </c>
      <c r="O85" s="7">
        <f t="shared" si="15"/>
        <v>0</v>
      </c>
    </row>
    <row r="86" spans="1:15" x14ac:dyDescent="0.3">
      <c r="B86" t="str">
        <f t="shared" ref="B86:B94" si="16">IF(ISBLANK(B44),"",B44)</f>
        <v/>
      </c>
      <c r="C86" s="7">
        <f>C$32*C44</f>
        <v>0</v>
      </c>
      <c r="D86" s="7">
        <f t="shared" ref="D86:O94" si="17">D$32*D44</f>
        <v>0</v>
      </c>
      <c r="E86" s="7">
        <f t="shared" si="17"/>
        <v>0</v>
      </c>
      <c r="F86" s="7">
        <f t="shared" si="17"/>
        <v>0</v>
      </c>
      <c r="G86" s="7">
        <f t="shared" si="17"/>
        <v>0</v>
      </c>
      <c r="H86" s="7">
        <f t="shared" si="17"/>
        <v>0</v>
      </c>
      <c r="I86" s="7">
        <f t="shared" si="17"/>
        <v>0</v>
      </c>
      <c r="J86" s="7">
        <f t="shared" si="17"/>
        <v>0</v>
      </c>
      <c r="K86" s="7">
        <f t="shared" si="17"/>
        <v>0</v>
      </c>
      <c r="L86" s="7">
        <f t="shared" si="17"/>
        <v>0</v>
      </c>
      <c r="M86" s="7">
        <f t="shared" si="17"/>
        <v>0</v>
      </c>
      <c r="N86" s="7">
        <f t="shared" si="17"/>
        <v>0</v>
      </c>
      <c r="O86" s="7">
        <f t="shared" si="17"/>
        <v>0</v>
      </c>
    </row>
    <row r="87" spans="1:15" x14ac:dyDescent="0.3">
      <c r="B87" t="str">
        <f t="shared" si="16"/>
        <v/>
      </c>
      <c r="C87" s="7">
        <f t="shared" ref="C87:C94" si="18">C$32*C45</f>
        <v>0</v>
      </c>
      <c r="D87" s="7">
        <f>D$32*D45</f>
        <v>0</v>
      </c>
      <c r="E87" s="7">
        <f t="shared" ref="E87:O87" si="19">E$32*E45</f>
        <v>0</v>
      </c>
      <c r="F87" s="7">
        <f t="shared" si="19"/>
        <v>0</v>
      </c>
      <c r="G87" s="7">
        <f t="shared" si="19"/>
        <v>0</v>
      </c>
      <c r="H87" s="7">
        <f t="shared" si="19"/>
        <v>0</v>
      </c>
      <c r="I87" s="7">
        <f t="shared" si="19"/>
        <v>0</v>
      </c>
      <c r="J87" s="7">
        <f t="shared" si="19"/>
        <v>0</v>
      </c>
      <c r="K87" s="7">
        <f t="shared" si="19"/>
        <v>0</v>
      </c>
      <c r="L87" s="7">
        <f t="shared" si="19"/>
        <v>0</v>
      </c>
      <c r="M87" s="7">
        <f t="shared" si="19"/>
        <v>0</v>
      </c>
      <c r="N87" s="7">
        <f t="shared" si="19"/>
        <v>0</v>
      </c>
      <c r="O87" s="7">
        <f t="shared" si="19"/>
        <v>0</v>
      </c>
    </row>
    <row r="88" spans="1:15" x14ac:dyDescent="0.3">
      <c r="B88" t="str">
        <f t="shared" si="16"/>
        <v/>
      </c>
      <c r="C88" s="7">
        <f t="shared" si="18"/>
        <v>0</v>
      </c>
      <c r="D88" s="7">
        <f t="shared" si="17"/>
        <v>0</v>
      </c>
      <c r="E88" s="7">
        <f t="shared" si="17"/>
        <v>0</v>
      </c>
      <c r="F88" s="7">
        <f t="shared" si="17"/>
        <v>0</v>
      </c>
      <c r="G88" s="7">
        <f t="shared" si="17"/>
        <v>0</v>
      </c>
      <c r="H88" s="7">
        <f t="shared" si="17"/>
        <v>0</v>
      </c>
      <c r="I88" s="7">
        <f t="shared" si="17"/>
        <v>0</v>
      </c>
      <c r="J88" s="7">
        <f t="shared" si="17"/>
        <v>0</v>
      </c>
      <c r="K88" s="7">
        <f t="shared" si="17"/>
        <v>0</v>
      </c>
      <c r="L88" s="7">
        <f t="shared" si="17"/>
        <v>0</v>
      </c>
      <c r="M88" s="7">
        <f t="shared" si="17"/>
        <v>0</v>
      </c>
      <c r="N88" s="7">
        <f t="shared" si="17"/>
        <v>0</v>
      </c>
      <c r="O88" s="7">
        <f t="shared" si="17"/>
        <v>0</v>
      </c>
    </row>
    <row r="89" spans="1:15" x14ac:dyDescent="0.3">
      <c r="B89" t="str">
        <f t="shared" si="16"/>
        <v/>
      </c>
      <c r="C89" s="7">
        <f t="shared" si="18"/>
        <v>0</v>
      </c>
      <c r="D89" s="7">
        <f t="shared" si="17"/>
        <v>0</v>
      </c>
      <c r="E89" s="7">
        <f t="shared" si="17"/>
        <v>0</v>
      </c>
      <c r="F89" s="7">
        <f t="shared" si="17"/>
        <v>0</v>
      </c>
      <c r="G89" s="7">
        <f t="shared" si="17"/>
        <v>0</v>
      </c>
      <c r="H89" s="7">
        <f t="shared" si="17"/>
        <v>0</v>
      </c>
      <c r="I89" s="7">
        <f t="shared" si="17"/>
        <v>0</v>
      </c>
      <c r="J89" s="7">
        <f t="shared" si="17"/>
        <v>0</v>
      </c>
      <c r="K89" s="7">
        <f t="shared" si="17"/>
        <v>0</v>
      </c>
      <c r="L89" s="7">
        <f t="shared" si="17"/>
        <v>0</v>
      </c>
      <c r="M89" s="7">
        <f t="shared" si="17"/>
        <v>0</v>
      </c>
      <c r="N89" s="7">
        <f t="shared" si="17"/>
        <v>0</v>
      </c>
      <c r="O89" s="7">
        <f t="shared" si="17"/>
        <v>0</v>
      </c>
    </row>
    <row r="90" spans="1:15" x14ac:dyDescent="0.3">
      <c r="B90" t="str">
        <f t="shared" si="16"/>
        <v/>
      </c>
      <c r="C90" s="7">
        <f t="shared" si="18"/>
        <v>0</v>
      </c>
      <c r="D90" s="7">
        <f t="shared" si="17"/>
        <v>0</v>
      </c>
      <c r="E90" s="7">
        <f t="shared" si="17"/>
        <v>0</v>
      </c>
      <c r="F90" s="7">
        <f t="shared" si="17"/>
        <v>0</v>
      </c>
      <c r="G90" s="7">
        <f t="shared" si="17"/>
        <v>0</v>
      </c>
      <c r="H90" s="7">
        <f t="shared" si="17"/>
        <v>0</v>
      </c>
      <c r="I90" s="7">
        <f t="shared" si="17"/>
        <v>0</v>
      </c>
      <c r="J90" s="7">
        <f t="shared" si="17"/>
        <v>0</v>
      </c>
      <c r="K90" s="7">
        <f t="shared" si="17"/>
        <v>0</v>
      </c>
      <c r="L90" s="7">
        <f t="shared" si="17"/>
        <v>0</v>
      </c>
      <c r="M90" s="7">
        <f t="shared" si="17"/>
        <v>0</v>
      </c>
      <c r="N90" s="7">
        <f t="shared" si="17"/>
        <v>0</v>
      </c>
      <c r="O90" s="7">
        <f t="shared" si="17"/>
        <v>0</v>
      </c>
    </row>
    <row r="91" spans="1:15" x14ac:dyDescent="0.3">
      <c r="B91" t="str">
        <f t="shared" si="16"/>
        <v/>
      </c>
      <c r="C91" s="7">
        <f t="shared" si="18"/>
        <v>0</v>
      </c>
      <c r="D91" s="7">
        <f t="shared" si="17"/>
        <v>0</v>
      </c>
      <c r="E91" s="7">
        <f t="shared" si="17"/>
        <v>0</v>
      </c>
      <c r="F91" s="7">
        <f t="shared" si="17"/>
        <v>0</v>
      </c>
      <c r="G91" s="7">
        <f t="shared" si="17"/>
        <v>0</v>
      </c>
      <c r="H91" s="7">
        <f t="shared" si="17"/>
        <v>0</v>
      </c>
      <c r="I91" s="7">
        <f t="shared" si="17"/>
        <v>0</v>
      </c>
      <c r="J91" s="7">
        <f t="shared" si="17"/>
        <v>0</v>
      </c>
      <c r="K91" s="7">
        <f t="shared" si="17"/>
        <v>0</v>
      </c>
      <c r="L91" s="7">
        <f t="shared" si="17"/>
        <v>0</v>
      </c>
      <c r="M91" s="7">
        <f t="shared" si="17"/>
        <v>0</v>
      </c>
      <c r="N91" s="7">
        <f t="shared" si="17"/>
        <v>0</v>
      </c>
      <c r="O91" s="7">
        <f t="shared" si="17"/>
        <v>0</v>
      </c>
    </row>
    <row r="92" spans="1:15" x14ac:dyDescent="0.3">
      <c r="B92" t="str">
        <f t="shared" si="16"/>
        <v/>
      </c>
      <c r="C92" s="7">
        <f t="shared" si="18"/>
        <v>0</v>
      </c>
      <c r="D92" s="7">
        <f t="shared" si="17"/>
        <v>0</v>
      </c>
      <c r="E92" s="7">
        <f t="shared" si="17"/>
        <v>0</v>
      </c>
      <c r="F92" s="7">
        <f t="shared" si="17"/>
        <v>0</v>
      </c>
      <c r="G92" s="7">
        <f t="shared" si="17"/>
        <v>0</v>
      </c>
      <c r="H92" s="7">
        <f t="shared" si="17"/>
        <v>0</v>
      </c>
      <c r="I92" s="7">
        <f t="shared" si="17"/>
        <v>0</v>
      </c>
      <c r="J92" s="7">
        <f t="shared" si="17"/>
        <v>0</v>
      </c>
      <c r="K92" s="7">
        <f t="shared" si="17"/>
        <v>0</v>
      </c>
      <c r="L92" s="7">
        <f t="shared" si="17"/>
        <v>0</v>
      </c>
      <c r="M92" s="7">
        <f t="shared" si="17"/>
        <v>0</v>
      </c>
      <c r="N92" s="7">
        <f t="shared" si="17"/>
        <v>0</v>
      </c>
      <c r="O92" s="7">
        <f t="shared" si="17"/>
        <v>0</v>
      </c>
    </row>
    <row r="93" spans="1:15" x14ac:dyDescent="0.3">
      <c r="B93" t="str">
        <f t="shared" si="16"/>
        <v/>
      </c>
      <c r="C93" s="7">
        <f>C$32*C51</f>
        <v>0</v>
      </c>
      <c r="D93" s="7">
        <f t="shared" si="17"/>
        <v>0</v>
      </c>
      <c r="E93" s="7">
        <f t="shared" si="17"/>
        <v>0</v>
      </c>
      <c r="F93" s="7">
        <f t="shared" si="17"/>
        <v>0</v>
      </c>
      <c r="G93" s="7">
        <f t="shared" si="17"/>
        <v>0</v>
      </c>
      <c r="H93" s="7">
        <f t="shared" si="17"/>
        <v>0</v>
      </c>
      <c r="I93" s="7">
        <f t="shared" si="17"/>
        <v>0</v>
      </c>
      <c r="J93" s="7">
        <f t="shared" si="17"/>
        <v>0</v>
      </c>
      <c r="K93" s="7">
        <f t="shared" si="17"/>
        <v>0</v>
      </c>
      <c r="L93" s="7">
        <f t="shared" si="17"/>
        <v>0</v>
      </c>
      <c r="M93" s="7">
        <f t="shared" si="17"/>
        <v>0</v>
      </c>
      <c r="N93" s="7">
        <f t="shared" si="17"/>
        <v>0</v>
      </c>
      <c r="O93" s="7">
        <f t="shared" si="17"/>
        <v>0</v>
      </c>
    </row>
    <row r="94" spans="1:15" x14ac:dyDescent="0.3">
      <c r="B94" t="str">
        <f t="shared" si="16"/>
        <v/>
      </c>
      <c r="C94" s="7">
        <f t="shared" si="18"/>
        <v>0</v>
      </c>
      <c r="D94" s="7">
        <f t="shared" si="17"/>
        <v>0</v>
      </c>
      <c r="E94" s="7">
        <f t="shared" si="17"/>
        <v>0</v>
      </c>
      <c r="F94" s="7">
        <f t="shared" si="17"/>
        <v>0</v>
      </c>
      <c r="G94" s="7">
        <f t="shared" si="17"/>
        <v>0</v>
      </c>
      <c r="H94" s="7">
        <f t="shared" si="17"/>
        <v>0</v>
      </c>
      <c r="I94" s="7">
        <f t="shared" si="17"/>
        <v>0</v>
      </c>
      <c r="J94" s="7">
        <f t="shared" si="17"/>
        <v>0</v>
      </c>
      <c r="K94" s="7">
        <f t="shared" si="17"/>
        <v>0</v>
      </c>
      <c r="L94" s="7">
        <f t="shared" si="17"/>
        <v>0</v>
      </c>
      <c r="M94" s="7">
        <f t="shared" si="17"/>
        <v>0</v>
      </c>
      <c r="N94" s="7">
        <f t="shared" si="17"/>
        <v>0</v>
      </c>
      <c r="O94" s="7">
        <f t="shared" si="17"/>
        <v>0</v>
      </c>
    </row>
    <row r="95" spans="1:15" s="13" customFormat="1" x14ac:dyDescent="0.3">
      <c r="C95" s="17"/>
      <c r="D95" s="17"/>
      <c r="E95" s="17"/>
      <c r="F95" s="17"/>
      <c r="G95" s="17"/>
      <c r="H95" s="17"/>
      <c r="I95" s="17"/>
      <c r="J95" s="17"/>
      <c r="K95" s="17"/>
      <c r="L95" s="17"/>
      <c r="M95" s="17"/>
      <c r="N95" s="17"/>
      <c r="O95" s="17"/>
    </row>
    <row r="96" spans="1:15" s="15" customFormat="1" ht="16.2" x14ac:dyDescent="0.3">
      <c r="A96" s="16" t="s">
        <v>48</v>
      </c>
    </row>
    <row r="97" spans="1:15" ht="16.8" x14ac:dyDescent="0.35">
      <c r="B97" s="1" t="s">
        <v>49</v>
      </c>
      <c r="C97" s="8"/>
      <c r="D97" s="8"/>
      <c r="E97" s="8"/>
      <c r="F97" s="8"/>
      <c r="G97" s="8"/>
      <c r="H97" s="8"/>
      <c r="I97" s="8"/>
      <c r="J97" s="8"/>
      <c r="K97" s="8"/>
      <c r="L97" s="8"/>
      <c r="M97" s="8"/>
      <c r="N97" s="8"/>
      <c r="O97" s="8"/>
    </row>
    <row r="98" spans="1:15" x14ac:dyDescent="0.3">
      <c r="B98" s="1" t="s">
        <v>40</v>
      </c>
      <c r="C98" s="1" t="str">
        <f>IF(ISBLANK(C3),"",C3)</f>
        <v/>
      </c>
      <c r="D98" s="1" t="str">
        <f t="shared" ref="D98:O98" si="20">IF(ISBLANK(D3),"",D3)</f>
        <v/>
      </c>
      <c r="E98" s="1" t="str">
        <f t="shared" si="20"/>
        <v/>
      </c>
      <c r="F98" s="1" t="str">
        <f t="shared" si="20"/>
        <v/>
      </c>
      <c r="G98" s="1" t="str">
        <f t="shared" si="20"/>
        <v/>
      </c>
      <c r="H98" s="1" t="str">
        <f t="shared" si="20"/>
        <v/>
      </c>
      <c r="I98" s="1" t="str">
        <f t="shared" si="20"/>
        <v/>
      </c>
      <c r="J98" s="1" t="str">
        <f t="shared" si="20"/>
        <v/>
      </c>
      <c r="K98" s="1" t="str">
        <f t="shared" si="20"/>
        <v/>
      </c>
      <c r="L98" s="1" t="str">
        <f t="shared" si="20"/>
        <v/>
      </c>
      <c r="M98" s="1" t="str">
        <f t="shared" si="20"/>
        <v/>
      </c>
      <c r="N98" s="1" t="str">
        <f t="shared" si="20"/>
        <v/>
      </c>
      <c r="O98" s="1" t="str">
        <f t="shared" si="20"/>
        <v/>
      </c>
    </row>
    <row r="99" spans="1:15" x14ac:dyDescent="0.3">
      <c r="B99" t="str">
        <f>IF(ISBLANK(B43),"",B43)</f>
        <v/>
      </c>
      <c r="C99" s="7" t="e">
        <f>C$38*C85</f>
        <v>#VALUE!</v>
      </c>
      <c r="D99" s="7" t="e">
        <f t="shared" ref="D99:O99" si="21">D$38*D85</f>
        <v>#VALUE!</v>
      </c>
      <c r="E99" s="7" t="e">
        <f t="shared" si="21"/>
        <v>#VALUE!</v>
      </c>
      <c r="F99" s="7" t="e">
        <f t="shared" si="21"/>
        <v>#VALUE!</v>
      </c>
      <c r="G99" s="7" t="e">
        <f t="shared" si="21"/>
        <v>#VALUE!</v>
      </c>
      <c r="H99" s="7" t="e">
        <f t="shared" si="21"/>
        <v>#VALUE!</v>
      </c>
      <c r="I99" s="7" t="e">
        <f t="shared" si="21"/>
        <v>#VALUE!</v>
      </c>
      <c r="J99" s="7" t="e">
        <f t="shared" si="21"/>
        <v>#VALUE!</v>
      </c>
      <c r="K99" s="7" t="e">
        <f t="shared" si="21"/>
        <v>#VALUE!</v>
      </c>
      <c r="L99" s="7" t="e">
        <f t="shared" si="21"/>
        <v>#VALUE!</v>
      </c>
      <c r="M99" s="7" t="e">
        <f t="shared" si="21"/>
        <v>#VALUE!</v>
      </c>
      <c r="N99" s="7" t="e">
        <f t="shared" si="21"/>
        <v>#VALUE!</v>
      </c>
      <c r="O99" s="7" t="e">
        <f t="shared" si="21"/>
        <v>#VALUE!</v>
      </c>
    </row>
    <row r="100" spans="1:15" x14ac:dyDescent="0.3">
      <c r="B100" t="str">
        <f t="shared" ref="B100:B107" si="22">IF(ISBLANK(B44),"",B44)</f>
        <v/>
      </c>
      <c r="C100" s="7" t="e">
        <f t="shared" ref="C100:O108" si="23">C$38*C86</f>
        <v>#VALUE!</v>
      </c>
      <c r="D100" s="7" t="e">
        <f t="shared" si="23"/>
        <v>#VALUE!</v>
      </c>
      <c r="E100" s="7" t="e">
        <f>E$38*E86</f>
        <v>#VALUE!</v>
      </c>
      <c r="F100" s="7" t="e">
        <f t="shared" si="23"/>
        <v>#VALUE!</v>
      </c>
      <c r="G100" s="7" t="e">
        <f t="shared" si="23"/>
        <v>#VALUE!</v>
      </c>
      <c r="H100" s="7" t="e">
        <f t="shared" si="23"/>
        <v>#VALUE!</v>
      </c>
      <c r="I100" s="7" t="e">
        <f t="shared" si="23"/>
        <v>#VALUE!</v>
      </c>
      <c r="J100" s="7" t="e">
        <f t="shared" si="23"/>
        <v>#VALUE!</v>
      </c>
      <c r="K100" s="7" t="e">
        <f t="shared" si="23"/>
        <v>#VALUE!</v>
      </c>
      <c r="L100" s="7" t="e">
        <f t="shared" si="23"/>
        <v>#VALUE!</v>
      </c>
      <c r="M100" s="7" t="e">
        <f t="shared" si="23"/>
        <v>#VALUE!</v>
      </c>
      <c r="N100" s="7" t="e">
        <f t="shared" si="23"/>
        <v>#VALUE!</v>
      </c>
      <c r="O100" s="7" t="e">
        <f t="shared" si="23"/>
        <v>#VALUE!</v>
      </c>
    </row>
    <row r="101" spans="1:15" x14ac:dyDescent="0.3">
      <c r="B101" t="str">
        <f t="shared" si="22"/>
        <v/>
      </c>
      <c r="C101" s="7" t="e">
        <f t="shared" si="23"/>
        <v>#VALUE!</v>
      </c>
      <c r="D101" s="7" t="e">
        <f t="shared" si="23"/>
        <v>#VALUE!</v>
      </c>
      <c r="E101" s="7" t="e">
        <f t="shared" si="23"/>
        <v>#VALUE!</v>
      </c>
      <c r="F101" s="7" t="e">
        <f t="shared" si="23"/>
        <v>#VALUE!</v>
      </c>
      <c r="G101" s="7" t="e">
        <f t="shared" si="23"/>
        <v>#VALUE!</v>
      </c>
      <c r="H101" s="7" t="e">
        <f t="shared" si="23"/>
        <v>#VALUE!</v>
      </c>
      <c r="I101" s="7" t="e">
        <f t="shared" si="23"/>
        <v>#VALUE!</v>
      </c>
      <c r="J101" s="7" t="e">
        <f t="shared" si="23"/>
        <v>#VALUE!</v>
      </c>
      <c r="K101" s="7" t="e">
        <f t="shared" si="23"/>
        <v>#VALUE!</v>
      </c>
      <c r="L101" s="7" t="e">
        <f t="shared" si="23"/>
        <v>#VALUE!</v>
      </c>
      <c r="M101" s="7" t="e">
        <f t="shared" si="23"/>
        <v>#VALUE!</v>
      </c>
      <c r="N101" s="7" t="e">
        <f t="shared" si="23"/>
        <v>#VALUE!</v>
      </c>
      <c r="O101" s="7" t="e">
        <f t="shared" si="23"/>
        <v>#VALUE!</v>
      </c>
    </row>
    <row r="102" spans="1:15" x14ac:dyDescent="0.3">
      <c r="B102" t="str">
        <f t="shared" si="22"/>
        <v/>
      </c>
      <c r="C102" s="7" t="e">
        <f t="shared" si="23"/>
        <v>#VALUE!</v>
      </c>
      <c r="D102" s="7" t="e">
        <f t="shared" si="23"/>
        <v>#VALUE!</v>
      </c>
      <c r="E102" s="7" t="e">
        <f t="shared" si="23"/>
        <v>#VALUE!</v>
      </c>
      <c r="F102" s="7" t="e">
        <f t="shared" si="23"/>
        <v>#VALUE!</v>
      </c>
      <c r="G102" s="7" t="e">
        <f t="shared" si="23"/>
        <v>#VALUE!</v>
      </c>
      <c r="H102" s="7" t="e">
        <f t="shared" si="23"/>
        <v>#VALUE!</v>
      </c>
      <c r="I102" s="7" t="e">
        <f t="shared" si="23"/>
        <v>#VALUE!</v>
      </c>
      <c r="J102" s="7" t="e">
        <f t="shared" si="23"/>
        <v>#VALUE!</v>
      </c>
      <c r="K102" s="7" t="e">
        <f t="shared" si="23"/>
        <v>#VALUE!</v>
      </c>
      <c r="L102" s="7" t="e">
        <f t="shared" si="23"/>
        <v>#VALUE!</v>
      </c>
      <c r="M102" s="7" t="e">
        <f t="shared" si="23"/>
        <v>#VALUE!</v>
      </c>
      <c r="N102" s="7" t="e">
        <f t="shared" si="23"/>
        <v>#VALUE!</v>
      </c>
      <c r="O102" s="7" t="e">
        <f t="shared" si="23"/>
        <v>#VALUE!</v>
      </c>
    </row>
    <row r="103" spans="1:15" x14ac:dyDescent="0.3">
      <c r="B103" t="str">
        <f t="shared" si="22"/>
        <v/>
      </c>
      <c r="C103" s="7" t="e">
        <f t="shared" si="23"/>
        <v>#VALUE!</v>
      </c>
      <c r="D103" s="7" t="e">
        <f t="shared" si="23"/>
        <v>#VALUE!</v>
      </c>
      <c r="E103" s="7" t="e">
        <f t="shared" si="23"/>
        <v>#VALUE!</v>
      </c>
      <c r="F103" s="7" t="e">
        <f t="shared" si="23"/>
        <v>#VALUE!</v>
      </c>
      <c r="G103" s="7" t="e">
        <f t="shared" si="23"/>
        <v>#VALUE!</v>
      </c>
      <c r="H103" s="7" t="e">
        <f t="shared" si="23"/>
        <v>#VALUE!</v>
      </c>
      <c r="I103" s="7" t="e">
        <f t="shared" si="23"/>
        <v>#VALUE!</v>
      </c>
      <c r="J103" s="7" t="e">
        <f t="shared" si="23"/>
        <v>#VALUE!</v>
      </c>
      <c r="K103" s="7" t="e">
        <f t="shared" si="23"/>
        <v>#VALUE!</v>
      </c>
      <c r="L103" s="7" t="e">
        <f t="shared" si="23"/>
        <v>#VALUE!</v>
      </c>
      <c r="M103" s="7" t="e">
        <f t="shared" si="23"/>
        <v>#VALUE!</v>
      </c>
      <c r="N103" s="7" t="e">
        <f t="shared" si="23"/>
        <v>#VALUE!</v>
      </c>
      <c r="O103" s="7" t="e">
        <f t="shared" si="23"/>
        <v>#VALUE!</v>
      </c>
    </row>
    <row r="104" spans="1:15" x14ac:dyDescent="0.3">
      <c r="B104" t="str">
        <f t="shared" si="22"/>
        <v/>
      </c>
      <c r="C104" s="7" t="e">
        <f t="shared" si="23"/>
        <v>#VALUE!</v>
      </c>
      <c r="D104" s="7" t="e">
        <f t="shared" si="23"/>
        <v>#VALUE!</v>
      </c>
      <c r="E104" s="7" t="e">
        <f t="shared" si="23"/>
        <v>#VALUE!</v>
      </c>
      <c r="F104" s="7" t="e">
        <f t="shared" si="23"/>
        <v>#VALUE!</v>
      </c>
      <c r="G104" s="7" t="e">
        <f t="shared" si="23"/>
        <v>#VALUE!</v>
      </c>
      <c r="H104" s="7" t="e">
        <f t="shared" si="23"/>
        <v>#VALUE!</v>
      </c>
      <c r="I104" s="7" t="e">
        <f t="shared" si="23"/>
        <v>#VALUE!</v>
      </c>
      <c r="J104" s="7" t="e">
        <f t="shared" si="23"/>
        <v>#VALUE!</v>
      </c>
      <c r="K104" s="7" t="e">
        <f t="shared" si="23"/>
        <v>#VALUE!</v>
      </c>
      <c r="L104" s="7" t="e">
        <f t="shared" si="23"/>
        <v>#VALUE!</v>
      </c>
      <c r="M104" s="7" t="e">
        <f t="shared" si="23"/>
        <v>#VALUE!</v>
      </c>
      <c r="N104" s="7" t="e">
        <f t="shared" si="23"/>
        <v>#VALUE!</v>
      </c>
      <c r="O104" s="7" t="e">
        <f t="shared" si="23"/>
        <v>#VALUE!</v>
      </c>
    </row>
    <row r="105" spans="1:15" x14ac:dyDescent="0.3">
      <c r="B105" t="str">
        <f t="shared" si="22"/>
        <v/>
      </c>
      <c r="C105" s="7" t="e">
        <f t="shared" si="23"/>
        <v>#VALUE!</v>
      </c>
      <c r="D105" s="7" t="e">
        <f t="shared" si="23"/>
        <v>#VALUE!</v>
      </c>
      <c r="E105" s="7" t="e">
        <f t="shared" si="23"/>
        <v>#VALUE!</v>
      </c>
      <c r="F105" s="7" t="e">
        <f t="shared" si="23"/>
        <v>#VALUE!</v>
      </c>
      <c r="G105" s="7" t="e">
        <f t="shared" si="23"/>
        <v>#VALUE!</v>
      </c>
      <c r="H105" s="7" t="e">
        <f t="shared" si="23"/>
        <v>#VALUE!</v>
      </c>
      <c r="I105" s="7" t="e">
        <f t="shared" si="23"/>
        <v>#VALUE!</v>
      </c>
      <c r="J105" s="7" t="e">
        <f t="shared" si="23"/>
        <v>#VALUE!</v>
      </c>
      <c r="K105" s="7" t="e">
        <f t="shared" si="23"/>
        <v>#VALUE!</v>
      </c>
      <c r="L105" s="7" t="e">
        <f t="shared" si="23"/>
        <v>#VALUE!</v>
      </c>
      <c r="M105" s="7" t="e">
        <f t="shared" si="23"/>
        <v>#VALUE!</v>
      </c>
      <c r="N105" s="7" t="e">
        <f t="shared" si="23"/>
        <v>#VALUE!</v>
      </c>
      <c r="O105" s="7" t="e">
        <f t="shared" si="23"/>
        <v>#VALUE!</v>
      </c>
    </row>
    <row r="106" spans="1:15" x14ac:dyDescent="0.3">
      <c r="B106" t="str">
        <f t="shared" si="22"/>
        <v/>
      </c>
      <c r="C106" s="7" t="e">
        <f t="shared" si="23"/>
        <v>#VALUE!</v>
      </c>
      <c r="D106" s="7" t="e">
        <f t="shared" si="23"/>
        <v>#VALUE!</v>
      </c>
      <c r="E106" s="7" t="e">
        <f t="shared" si="23"/>
        <v>#VALUE!</v>
      </c>
      <c r="F106" s="7" t="e">
        <f t="shared" si="23"/>
        <v>#VALUE!</v>
      </c>
      <c r="G106" s="7" t="e">
        <f t="shared" si="23"/>
        <v>#VALUE!</v>
      </c>
      <c r="H106" s="7" t="e">
        <f t="shared" si="23"/>
        <v>#VALUE!</v>
      </c>
      <c r="I106" s="7" t="e">
        <f t="shared" si="23"/>
        <v>#VALUE!</v>
      </c>
      <c r="J106" s="7" t="e">
        <f t="shared" si="23"/>
        <v>#VALUE!</v>
      </c>
      <c r="K106" s="7" t="e">
        <f t="shared" si="23"/>
        <v>#VALUE!</v>
      </c>
      <c r="L106" s="7" t="e">
        <f t="shared" si="23"/>
        <v>#VALUE!</v>
      </c>
      <c r="M106" s="7" t="e">
        <f t="shared" si="23"/>
        <v>#VALUE!</v>
      </c>
      <c r="N106" s="7" t="e">
        <f t="shared" si="23"/>
        <v>#VALUE!</v>
      </c>
      <c r="O106" s="7" t="e">
        <f t="shared" si="23"/>
        <v>#VALUE!</v>
      </c>
    </row>
    <row r="107" spans="1:15" x14ac:dyDescent="0.3">
      <c r="B107" t="str">
        <f t="shared" si="22"/>
        <v/>
      </c>
      <c r="C107" s="7" t="e">
        <f t="shared" si="23"/>
        <v>#VALUE!</v>
      </c>
      <c r="D107" s="7" t="e">
        <f t="shared" si="23"/>
        <v>#VALUE!</v>
      </c>
      <c r="E107" s="7" t="e">
        <f t="shared" si="23"/>
        <v>#VALUE!</v>
      </c>
      <c r="F107" s="7" t="e">
        <f t="shared" si="23"/>
        <v>#VALUE!</v>
      </c>
      <c r="G107" s="7" t="e">
        <f t="shared" si="23"/>
        <v>#VALUE!</v>
      </c>
      <c r="H107" s="7" t="e">
        <f t="shared" si="23"/>
        <v>#VALUE!</v>
      </c>
      <c r="I107" s="7" t="e">
        <f t="shared" si="23"/>
        <v>#VALUE!</v>
      </c>
      <c r="J107" s="7" t="e">
        <f t="shared" si="23"/>
        <v>#VALUE!</v>
      </c>
      <c r="K107" s="7" t="e">
        <f t="shared" si="23"/>
        <v>#VALUE!</v>
      </c>
      <c r="L107" s="7" t="e">
        <f t="shared" si="23"/>
        <v>#VALUE!</v>
      </c>
      <c r="M107" s="7" t="e">
        <f t="shared" si="23"/>
        <v>#VALUE!</v>
      </c>
      <c r="N107" s="7" t="e">
        <f t="shared" si="23"/>
        <v>#VALUE!</v>
      </c>
      <c r="O107" s="7" t="e">
        <f t="shared" si="23"/>
        <v>#VALUE!</v>
      </c>
    </row>
    <row r="108" spans="1:15" x14ac:dyDescent="0.3">
      <c r="B108" t="str">
        <f>IF(ISBLANK(B52),"",B52)</f>
        <v/>
      </c>
      <c r="C108" s="7" t="e">
        <f t="shared" si="23"/>
        <v>#VALUE!</v>
      </c>
      <c r="D108" s="7" t="e">
        <f t="shared" si="23"/>
        <v>#VALUE!</v>
      </c>
      <c r="E108" s="7" t="e">
        <f t="shared" si="23"/>
        <v>#VALUE!</v>
      </c>
      <c r="F108" s="7" t="e">
        <f t="shared" si="23"/>
        <v>#VALUE!</v>
      </c>
      <c r="G108" s="7" t="e">
        <f t="shared" si="23"/>
        <v>#VALUE!</v>
      </c>
      <c r="H108" s="7" t="e">
        <f t="shared" si="23"/>
        <v>#VALUE!</v>
      </c>
      <c r="I108" s="7" t="e">
        <f t="shared" si="23"/>
        <v>#VALUE!</v>
      </c>
      <c r="J108" s="7" t="e">
        <f t="shared" si="23"/>
        <v>#VALUE!</v>
      </c>
      <c r="K108" s="7" t="e">
        <f t="shared" si="23"/>
        <v>#VALUE!</v>
      </c>
      <c r="L108" s="7" t="e">
        <f t="shared" si="23"/>
        <v>#VALUE!</v>
      </c>
      <c r="M108" s="7" t="e">
        <f t="shared" si="23"/>
        <v>#VALUE!</v>
      </c>
      <c r="N108" s="7" t="e">
        <f t="shared" si="23"/>
        <v>#VALUE!</v>
      </c>
      <c r="O108" s="7" t="e">
        <f t="shared" si="23"/>
        <v>#VALUE!</v>
      </c>
    </row>
    <row r="109" spans="1:15" s="13" customFormat="1" x14ac:dyDescent="0.3"/>
    <row r="110" spans="1:15" s="15" customFormat="1" ht="16.2" x14ac:dyDescent="0.3">
      <c r="A110" s="16" t="s">
        <v>50</v>
      </c>
    </row>
    <row r="111" spans="1:15" ht="16.8" x14ac:dyDescent="0.35">
      <c r="B111" s="1" t="s">
        <v>51</v>
      </c>
    </row>
    <row r="112" spans="1:15" x14ac:dyDescent="0.3">
      <c r="B112" s="1" t="s">
        <v>40</v>
      </c>
      <c r="C112" s="1" t="str">
        <f>IF(ISBLANK(C3),"",C3)</f>
        <v/>
      </c>
      <c r="D112" s="1" t="str">
        <f t="shared" ref="D112:O112" si="24">IF(ISBLANK(D3),"",D3)</f>
        <v/>
      </c>
      <c r="E112" s="1" t="str">
        <f t="shared" si="24"/>
        <v/>
      </c>
      <c r="F112" s="1" t="str">
        <f t="shared" si="24"/>
        <v/>
      </c>
      <c r="G112" s="1" t="str">
        <f t="shared" si="24"/>
        <v/>
      </c>
      <c r="H112" s="1" t="str">
        <f t="shared" si="24"/>
        <v/>
      </c>
      <c r="I112" s="1" t="str">
        <f t="shared" si="24"/>
        <v/>
      </c>
      <c r="J112" s="1" t="str">
        <f t="shared" si="24"/>
        <v/>
      </c>
      <c r="K112" s="1" t="str">
        <f t="shared" si="24"/>
        <v/>
      </c>
      <c r="L112" s="1" t="str">
        <f t="shared" si="24"/>
        <v/>
      </c>
      <c r="M112" s="1" t="str">
        <f t="shared" si="24"/>
        <v/>
      </c>
      <c r="N112" s="1" t="str">
        <f t="shared" si="24"/>
        <v/>
      </c>
      <c r="O112" s="1" t="str">
        <f t="shared" si="24"/>
        <v/>
      </c>
    </row>
    <row r="113" spans="1:15" x14ac:dyDescent="0.3">
      <c r="B113" t="str">
        <f>IF(ISBLANK(B43),"",B43)</f>
        <v/>
      </c>
      <c r="C113" s="7" t="e">
        <f>C71*SQRT(24/C$23)</f>
        <v>#DIV/0!</v>
      </c>
      <c r="D113" s="7" t="e">
        <f t="shared" ref="D113:O113" si="25">D71*SQRT(24/D$23)</f>
        <v>#DIV/0!</v>
      </c>
      <c r="E113" s="7" t="e">
        <f t="shared" si="25"/>
        <v>#DIV/0!</v>
      </c>
      <c r="F113" s="7" t="e">
        <f t="shared" si="25"/>
        <v>#DIV/0!</v>
      </c>
      <c r="G113" s="7" t="e">
        <f t="shared" si="25"/>
        <v>#DIV/0!</v>
      </c>
      <c r="H113" s="7" t="e">
        <f t="shared" si="25"/>
        <v>#DIV/0!</v>
      </c>
      <c r="I113" s="7" t="e">
        <f t="shared" si="25"/>
        <v>#DIV/0!</v>
      </c>
      <c r="J113" s="7" t="e">
        <f t="shared" si="25"/>
        <v>#DIV/0!</v>
      </c>
      <c r="K113" s="7" t="e">
        <f t="shared" si="25"/>
        <v>#DIV/0!</v>
      </c>
      <c r="L113" s="7" t="e">
        <f t="shared" si="25"/>
        <v>#DIV/0!</v>
      </c>
      <c r="M113" s="7" t="e">
        <f t="shared" si="25"/>
        <v>#DIV/0!</v>
      </c>
      <c r="N113" s="7" t="e">
        <f t="shared" si="25"/>
        <v>#DIV/0!</v>
      </c>
      <c r="O113" s="7" t="e">
        <f t="shared" si="25"/>
        <v>#DIV/0!</v>
      </c>
    </row>
    <row r="114" spans="1:15" x14ac:dyDescent="0.3">
      <c r="B114" t="str">
        <f t="shared" ref="B114:B122" si="26">IF(ISBLANK(B44),"",B44)</f>
        <v/>
      </c>
      <c r="C114" s="7" t="e">
        <f t="shared" ref="C114:O122" si="27">C72*SQRT(24/C$23)</f>
        <v>#DIV/0!</v>
      </c>
      <c r="D114" s="7" t="e">
        <f t="shared" si="27"/>
        <v>#DIV/0!</v>
      </c>
      <c r="E114" s="7" t="e">
        <f t="shared" si="27"/>
        <v>#DIV/0!</v>
      </c>
      <c r="F114" s="7" t="e">
        <f t="shared" si="27"/>
        <v>#DIV/0!</v>
      </c>
      <c r="G114" s="7" t="e">
        <f t="shared" si="27"/>
        <v>#DIV/0!</v>
      </c>
      <c r="H114" s="7" t="e">
        <f t="shared" si="27"/>
        <v>#DIV/0!</v>
      </c>
      <c r="I114" s="7" t="e">
        <f t="shared" si="27"/>
        <v>#DIV/0!</v>
      </c>
      <c r="J114" s="7" t="e">
        <f t="shared" si="27"/>
        <v>#DIV/0!</v>
      </c>
      <c r="K114" s="7" t="e">
        <f t="shared" si="27"/>
        <v>#DIV/0!</v>
      </c>
      <c r="L114" s="7" t="e">
        <f t="shared" si="27"/>
        <v>#DIV/0!</v>
      </c>
      <c r="M114" s="7" t="e">
        <f t="shared" si="27"/>
        <v>#DIV/0!</v>
      </c>
      <c r="N114" s="7" t="e">
        <f t="shared" si="27"/>
        <v>#DIV/0!</v>
      </c>
      <c r="O114" s="7" t="e">
        <f t="shared" si="27"/>
        <v>#DIV/0!</v>
      </c>
    </row>
    <row r="115" spans="1:15" x14ac:dyDescent="0.3">
      <c r="B115" t="str">
        <f t="shared" si="26"/>
        <v/>
      </c>
      <c r="C115" s="7" t="e">
        <f t="shared" si="27"/>
        <v>#DIV/0!</v>
      </c>
      <c r="D115" s="7" t="e">
        <f t="shared" si="27"/>
        <v>#DIV/0!</v>
      </c>
      <c r="E115" s="7" t="e">
        <f t="shared" si="27"/>
        <v>#DIV/0!</v>
      </c>
      <c r="F115" s="7" t="e">
        <f t="shared" si="27"/>
        <v>#DIV/0!</v>
      </c>
      <c r="G115" s="7" t="e">
        <f t="shared" si="27"/>
        <v>#DIV/0!</v>
      </c>
      <c r="H115" s="7" t="e">
        <f t="shared" si="27"/>
        <v>#DIV/0!</v>
      </c>
      <c r="I115" s="7" t="e">
        <f t="shared" si="27"/>
        <v>#DIV/0!</v>
      </c>
      <c r="J115" s="7" t="e">
        <f t="shared" si="27"/>
        <v>#DIV/0!</v>
      </c>
      <c r="K115" s="7" t="e">
        <f t="shared" si="27"/>
        <v>#DIV/0!</v>
      </c>
      <c r="L115" s="7" t="e">
        <f t="shared" si="27"/>
        <v>#DIV/0!</v>
      </c>
      <c r="M115" s="7" t="e">
        <f t="shared" si="27"/>
        <v>#DIV/0!</v>
      </c>
      <c r="N115" s="7" t="e">
        <f t="shared" si="27"/>
        <v>#DIV/0!</v>
      </c>
      <c r="O115" s="7" t="e">
        <f t="shared" si="27"/>
        <v>#DIV/0!</v>
      </c>
    </row>
    <row r="116" spans="1:15" x14ac:dyDescent="0.3">
      <c r="B116" t="str">
        <f t="shared" si="26"/>
        <v/>
      </c>
      <c r="C116" s="7" t="e">
        <f t="shared" si="27"/>
        <v>#DIV/0!</v>
      </c>
      <c r="D116" s="7" t="e">
        <f t="shared" si="27"/>
        <v>#DIV/0!</v>
      </c>
      <c r="E116" s="7" t="e">
        <f t="shared" si="27"/>
        <v>#DIV/0!</v>
      </c>
      <c r="F116" s="7" t="e">
        <f t="shared" si="27"/>
        <v>#DIV/0!</v>
      </c>
      <c r="G116" s="7" t="e">
        <f t="shared" si="27"/>
        <v>#DIV/0!</v>
      </c>
      <c r="H116" s="7" t="e">
        <f t="shared" si="27"/>
        <v>#DIV/0!</v>
      </c>
      <c r="I116" s="7" t="e">
        <f t="shared" si="27"/>
        <v>#DIV/0!</v>
      </c>
      <c r="J116" s="7" t="e">
        <f t="shared" si="27"/>
        <v>#DIV/0!</v>
      </c>
      <c r="K116" s="7" t="e">
        <f t="shared" si="27"/>
        <v>#DIV/0!</v>
      </c>
      <c r="L116" s="7" t="e">
        <f t="shared" si="27"/>
        <v>#DIV/0!</v>
      </c>
      <c r="M116" s="7" t="e">
        <f t="shared" si="27"/>
        <v>#DIV/0!</v>
      </c>
      <c r="N116" s="7" t="e">
        <f t="shared" si="27"/>
        <v>#DIV/0!</v>
      </c>
      <c r="O116" s="7" t="e">
        <f t="shared" si="27"/>
        <v>#DIV/0!</v>
      </c>
    </row>
    <row r="117" spans="1:15" x14ac:dyDescent="0.3">
      <c r="B117" t="str">
        <f t="shared" si="26"/>
        <v/>
      </c>
      <c r="C117" s="7" t="e">
        <f t="shared" si="27"/>
        <v>#DIV/0!</v>
      </c>
      <c r="D117" s="7" t="e">
        <f t="shared" si="27"/>
        <v>#DIV/0!</v>
      </c>
      <c r="E117" s="7" t="e">
        <f t="shared" si="27"/>
        <v>#DIV/0!</v>
      </c>
      <c r="F117" s="7" t="e">
        <f t="shared" si="27"/>
        <v>#DIV/0!</v>
      </c>
      <c r="G117" s="7" t="e">
        <f t="shared" si="27"/>
        <v>#DIV/0!</v>
      </c>
      <c r="H117" s="7" t="e">
        <f t="shared" si="27"/>
        <v>#DIV/0!</v>
      </c>
      <c r="I117" s="7" t="e">
        <f t="shared" si="27"/>
        <v>#DIV/0!</v>
      </c>
      <c r="J117" s="7" t="e">
        <f t="shared" si="27"/>
        <v>#DIV/0!</v>
      </c>
      <c r="K117" s="7" t="e">
        <f t="shared" si="27"/>
        <v>#DIV/0!</v>
      </c>
      <c r="L117" s="7" t="e">
        <f t="shared" si="27"/>
        <v>#DIV/0!</v>
      </c>
      <c r="M117" s="7" t="e">
        <f t="shared" si="27"/>
        <v>#DIV/0!</v>
      </c>
      <c r="N117" s="7" t="e">
        <f t="shared" si="27"/>
        <v>#DIV/0!</v>
      </c>
      <c r="O117" s="7" t="e">
        <f t="shared" si="27"/>
        <v>#DIV/0!</v>
      </c>
    </row>
    <row r="118" spans="1:15" x14ac:dyDescent="0.3">
      <c r="B118" t="str">
        <f t="shared" si="26"/>
        <v/>
      </c>
      <c r="C118" s="7" t="e">
        <f t="shared" si="27"/>
        <v>#DIV/0!</v>
      </c>
      <c r="D118" s="7" t="e">
        <f t="shared" si="27"/>
        <v>#DIV/0!</v>
      </c>
      <c r="E118" s="7" t="e">
        <f t="shared" si="27"/>
        <v>#DIV/0!</v>
      </c>
      <c r="F118" s="7" t="e">
        <f t="shared" si="27"/>
        <v>#DIV/0!</v>
      </c>
      <c r="G118" s="7" t="e">
        <f t="shared" si="27"/>
        <v>#DIV/0!</v>
      </c>
      <c r="H118" s="7" t="e">
        <f>H76*SQRT(24/H$23)</f>
        <v>#DIV/0!</v>
      </c>
      <c r="I118" s="7" t="e">
        <f t="shared" si="27"/>
        <v>#DIV/0!</v>
      </c>
      <c r="J118" s="7" t="e">
        <f t="shared" si="27"/>
        <v>#DIV/0!</v>
      </c>
      <c r="K118" s="7" t="e">
        <f t="shared" si="27"/>
        <v>#DIV/0!</v>
      </c>
      <c r="L118" s="7" t="e">
        <f t="shared" si="27"/>
        <v>#DIV/0!</v>
      </c>
      <c r="M118" s="7" t="e">
        <f t="shared" si="27"/>
        <v>#DIV/0!</v>
      </c>
      <c r="N118" s="7" t="e">
        <f t="shared" si="27"/>
        <v>#DIV/0!</v>
      </c>
      <c r="O118" s="7" t="e">
        <f t="shared" si="27"/>
        <v>#DIV/0!</v>
      </c>
    </row>
    <row r="119" spans="1:15" x14ac:dyDescent="0.3">
      <c r="B119" t="str">
        <f t="shared" si="26"/>
        <v/>
      </c>
      <c r="C119" s="7" t="e">
        <f t="shared" si="27"/>
        <v>#DIV/0!</v>
      </c>
      <c r="D119" s="7" t="e">
        <f t="shared" si="27"/>
        <v>#DIV/0!</v>
      </c>
      <c r="E119" s="7" t="e">
        <f t="shared" si="27"/>
        <v>#DIV/0!</v>
      </c>
      <c r="F119" s="7" t="e">
        <f t="shared" si="27"/>
        <v>#DIV/0!</v>
      </c>
      <c r="G119" s="7" t="e">
        <f t="shared" si="27"/>
        <v>#DIV/0!</v>
      </c>
      <c r="H119" s="7" t="e">
        <f t="shared" si="27"/>
        <v>#DIV/0!</v>
      </c>
      <c r="I119" s="7" t="e">
        <f t="shared" si="27"/>
        <v>#DIV/0!</v>
      </c>
      <c r="J119" s="7" t="e">
        <f t="shared" si="27"/>
        <v>#DIV/0!</v>
      </c>
      <c r="K119" s="7" t="e">
        <f t="shared" si="27"/>
        <v>#DIV/0!</v>
      </c>
      <c r="L119" s="7" t="e">
        <f t="shared" si="27"/>
        <v>#DIV/0!</v>
      </c>
      <c r="M119" s="7" t="e">
        <f t="shared" si="27"/>
        <v>#DIV/0!</v>
      </c>
      <c r="N119" s="7" t="e">
        <f t="shared" si="27"/>
        <v>#DIV/0!</v>
      </c>
      <c r="O119" s="7" t="e">
        <f t="shared" si="27"/>
        <v>#DIV/0!</v>
      </c>
    </row>
    <row r="120" spans="1:15" x14ac:dyDescent="0.3">
      <c r="B120" t="str">
        <f t="shared" si="26"/>
        <v/>
      </c>
      <c r="C120" s="7" t="e">
        <f t="shared" si="27"/>
        <v>#DIV/0!</v>
      </c>
      <c r="D120" s="7" t="e">
        <f t="shared" si="27"/>
        <v>#DIV/0!</v>
      </c>
      <c r="E120" s="7" t="e">
        <f t="shared" si="27"/>
        <v>#DIV/0!</v>
      </c>
      <c r="F120" s="7" t="e">
        <f t="shared" si="27"/>
        <v>#DIV/0!</v>
      </c>
      <c r="G120" s="7" t="e">
        <f t="shared" si="27"/>
        <v>#DIV/0!</v>
      </c>
      <c r="H120" s="7" t="e">
        <f t="shared" si="27"/>
        <v>#DIV/0!</v>
      </c>
      <c r="I120" s="7" t="e">
        <f t="shared" si="27"/>
        <v>#DIV/0!</v>
      </c>
      <c r="J120" s="7" t="e">
        <f t="shared" si="27"/>
        <v>#DIV/0!</v>
      </c>
      <c r="K120" s="7" t="e">
        <f t="shared" si="27"/>
        <v>#DIV/0!</v>
      </c>
      <c r="L120" s="7" t="e">
        <f t="shared" si="27"/>
        <v>#DIV/0!</v>
      </c>
      <c r="M120" s="7" t="e">
        <f t="shared" si="27"/>
        <v>#DIV/0!</v>
      </c>
      <c r="N120" s="7" t="e">
        <f t="shared" si="27"/>
        <v>#DIV/0!</v>
      </c>
      <c r="O120" s="7" t="e">
        <f t="shared" si="27"/>
        <v>#DIV/0!</v>
      </c>
    </row>
    <row r="121" spans="1:15" x14ac:dyDescent="0.3">
      <c r="B121" t="str">
        <f t="shared" si="26"/>
        <v/>
      </c>
      <c r="C121" s="7" t="e">
        <f t="shared" si="27"/>
        <v>#DIV/0!</v>
      </c>
      <c r="D121" s="7" t="e">
        <f t="shared" si="27"/>
        <v>#DIV/0!</v>
      </c>
      <c r="E121" s="7" t="e">
        <f t="shared" si="27"/>
        <v>#DIV/0!</v>
      </c>
      <c r="F121" s="7" t="e">
        <f t="shared" si="27"/>
        <v>#DIV/0!</v>
      </c>
      <c r="G121" s="7" t="e">
        <f t="shared" si="27"/>
        <v>#DIV/0!</v>
      </c>
      <c r="H121" s="7" t="e">
        <f t="shared" si="27"/>
        <v>#DIV/0!</v>
      </c>
      <c r="I121" s="7" t="e">
        <f t="shared" si="27"/>
        <v>#DIV/0!</v>
      </c>
      <c r="J121" s="7" t="e">
        <f t="shared" si="27"/>
        <v>#DIV/0!</v>
      </c>
      <c r="K121" s="7" t="e">
        <f t="shared" si="27"/>
        <v>#DIV/0!</v>
      </c>
      <c r="L121" s="7" t="e">
        <f t="shared" si="27"/>
        <v>#DIV/0!</v>
      </c>
      <c r="M121" s="7" t="e">
        <f t="shared" si="27"/>
        <v>#DIV/0!</v>
      </c>
      <c r="N121" s="7" t="e">
        <f t="shared" si="27"/>
        <v>#DIV/0!</v>
      </c>
      <c r="O121" s="7" t="e">
        <f t="shared" si="27"/>
        <v>#DIV/0!</v>
      </c>
    </row>
    <row r="122" spans="1:15" x14ac:dyDescent="0.3">
      <c r="B122" t="str">
        <f t="shared" si="26"/>
        <v/>
      </c>
      <c r="C122" s="7" t="e">
        <f t="shared" si="27"/>
        <v>#DIV/0!</v>
      </c>
      <c r="D122" s="7" t="e">
        <f t="shared" si="27"/>
        <v>#DIV/0!</v>
      </c>
      <c r="E122" s="7" t="e">
        <f t="shared" si="27"/>
        <v>#DIV/0!</v>
      </c>
      <c r="F122" s="7" t="e">
        <f t="shared" si="27"/>
        <v>#DIV/0!</v>
      </c>
      <c r="G122" s="7" t="e">
        <f t="shared" si="27"/>
        <v>#DIV/0!</v>
      </c>
      <c r="H122" s="7" t="e">
        <f t="shared" si="27"/>
        <v>#DIV/0!</v>
      </c>
      <c r="I122" s="7" t="e">
        <f t="shared" si="27"/>
        <v>#DIV/0!</v>
      </c>
      <c r="J122" s="7" t="e">
        <f t="shared" si="27"/>
        <v>#DIV/0!</v>
      </c>
      <c r="K122" s="7" t="e">
        <f t="shared" si="27"/>
        <v>#DIV/0!</v>
      </c>
      <c r="L122" s="7" t="e">
        <f t="shared" si="27"/>
        <v>#DIV/0!</v>
      </c>
      <c r="M122" s="7" t="e">
        <f t="shared" si="27"/>
        <v>#DIV/0!</v>
      </c>
      <c r="N122" s="7" t="e">
        <f t="shared" si="27"/>
        <v>#DIV/0!</v>
      </c>
      <c r="O122" s="7" t="e">
        <f t="shared" si="27"/>
        <v>#DIV/0!</v>
      </c>
    </row>
    <row r="123" spans="1:15" s="13" customFormat="1" x14ac:dyDescent="0.3"/>
    <row r="124" spans="1:15" s="15" customFormat="1" ht="16.2" x14ac:dyDescent="0.3">
      <c r="A124" s="16" t="s">
        <v>52</v>
      </c>
    </row>
    <row r="125" spans="1:15" ht="16.8" x14ac:dyDescent="0.35">
      <c r="B125" s="1" t="s">
        <v>53</v>
      </c>
    </row>
    <row r="126" spans="1:15" x14ac:dyDescent="0.3">
      <c r="B126" s="1" t="s">
        <v>40</v>
      </c>
      <c r="C126" s="1" t="str">
        <f>IF(ISBLANK(C3),"",C3)</f>
        <v/>
      </c>
      <c r="D126" s="1" t="str">
        <f t="shared" ref="D126:O126" si="28">IF(ISBLANK(D3),"",D3)</f>
        <v/>
      </c>
      <c r="E126" s="1" t="str">
        <f t="shared" si="28"/>
        <v/>
      </c>
      <c r="F126" s="1" t="str">
        <f t="shared" si="28"/>
        <v/>
      </c>
      <c r="G126" s="1" t="str">
        <f t="shared" si="28"/>
        <v/>
      </c>
      <c r="H126" s="1" t="str">
        <f t="shared" si="28"/>
        <v/>
      </c>
      <c r="I126" s="1" t="str">
        <f t="shared" si="28"/>
        <v/>
      </c>
      <c r="J126" s="1" t="str">
        <f t="shared" si="28"/>
        <v/>
      </c>
      <c r="K126" s="1" t="str">
        <f t="shared" si="28"/>
        <v/>
      </c>
      <c r="L126" s="1" t="str">
        <f t="shared" si="28"/>
        <v/>
      </c>
      <c r="M126" s="1" t="str">
        <f t="shared" si="28"/>
        <v/>
      </c>
      <c r="N126" s="1" t="str">
        <f t="shared" si="28"/>
        <v/>
      </c>
      <c r="O126" s="1" t="str">
        <f t="shared" si="28"/>
        <v/>
      </c>
    </row>
    <row r="127" spans="1:15" x14ac:dyDescent="0.3">
      <c r="B127" t="str">
        <f>IF(ISBLANK(B43),"",B43)</f>
        <v/>
      </c>
      <c r="C127" s="7" t="e">
        <f>C99/C$23</f>
        <v>#VALUE!</v>
      </c>
      <c r="D127" s="7" t="e">
        <f t="shared" ref="D127:G127" si="29">D99/D$23</f>
        <v>#VALUE!</v>
      </c>
      <c r="E127" s="7" t="e">
        <f t="shared" si="29"/>
        <v>#VALUE!</v>
      </c>
      <c r="F127" s="7" t="e">
        <f t="shared" si="29"/>
        <v>#VALUE!</v>
      </c>
      <c r="G127" s="7" t="e">
        <f t="shared" si="29"/>
        <v>#VALUE!</v>
      </c>
      <c r="H127" s="7" t="e">
        <f t="shared" ref="H127:O127" si="30">H99/H$23</f>
        <v>#VALUE!</v>
      </c>
      <c r="I127" s="7" t="e">
        <f t="shared" si="30"/>
        <v>#VALUE!</v>
      </c>
      <c r="J127" s="7" t="e">
        <f t="shared" si="30"/>
        <v>#VALUE!</v>
      </c>
      <c r="K127" s="7" t="e">
        <f t="shared" si="30"/>
        <v>#VALUE!</v>
      </c>
      <c r="L127" s="7" t="e">
        <f t="shared" si="30"/>
        <v>#VALUE!</v>
      </c>
      <c r="M127" s="7" t="e">
        <f t="shared" si="30"/>
        <v>#VALUE!</v>
      </c>
      <c r="N127" s="7" t="e">
        <f t="shared" si="30"/>
        <v>#VALUE!</v>
      </c>
      <c r="O127" s="7" t="e">
        <f t="shared" si="30"/>
        <v>#VALUE!</v>
      </c>
    </row>
    <row r="128" spans="1:15" x14ac:dyDescent="0.3">
      <c r="B128" t="str">
        <f t="shared" ref="B128:B136" si="31">IF(ISBLANK(B44),"",B44)</f>
        <v/>
      </c>
      <c r="C128" s="7" t="e">
        <f t="shared" ref="C128:F134" si="32">C100/C$23</f>
        <v>#VALUE!</v>
      </c>
      <c r="D128" s="7" t="e">
        <f t="shared" si="32"/>
        <v>#VALUE!</v>
      </c>
      <c r="E128" s="7" t="e">
        <f t="shared" si="32"/>
        <v>#VALUE!</v>
      </c>
      <c r="F128" s="7" t="e">
        <f t="shared" si="32"/>
        <v>#VALUE!</v>
      </c>
      <c r="G128" s="7" t="e">
        <f t="shared" ref="G128:O128" si="33">G100/G$23</f>
        <v>#VALUE!</v>
      </c>
      <c r="H128" s="7" t="e">
        <f t="shared" si="33"/>
        <v>#VALUE!</v>
      </c>
      <c r="I128" s="7" t="e">
        <f t="shared" si="33"/>
        <v>#VALUE!</v>
      </c>
      <c r="J128" s="7" t="e">
        <f t="shared" si="33"/>
        <v>#VALUE!</v>
      </c>
      <c r="K128" s="7" t="e">
        <f t="shared" si="33"/>
        <v>#VALUE!</v>
      </c>
      <c r="L128" s="7" t="e">
        <f t="shared" si="33"/>
        <v>#VALUE!</v>
      </c>
      <c r="M128" s="7" t="e">
        <f t="shared" si="33"/>
        <v>#VALUE!</v>
      </c>
      <c r="N128" s="7" t="e">
        <f t="shared" si="33"/>
        <v>#VALUE!</v>
      </c>
      <c r="O128" s="7" t="e">
        <f t="shared" si="33"/>
        <v>#VALUE!</v>
      </c>
    </row>
    <row r="129" spans="1:15" x14ac:dyDescent="0.3">
      <c r="B129" t="str">
        <f t="shared" si="31"/>
        <v/>
      </c>
      <c r="C129" s="7" t="e">
        <f t="shared" si="32"/>
        <v>#VALUE!</v>
      </c>
      <c r="D129" s="7" t="e">
        <f t="shared" si="32"/>
        <v>#VALUE!</v>
      </c>
      <c r="E129" s="7" t="e">
        <f t="shared" si="32"/>
        <v>#VALUE!</v>
      </c>
      <c r="F129" s="7" t="e">
        <f t="shared" si="32"/>
        <v>#VALUE!</v>
      </c>
      <c r="G129" s="7" t="e">
        <f t="shared" ref="G129:O129" si="34">G101/G$23</f>
        <v>#VALUE!</v>
      </c>
      <c r="H129" s="7" t="e">
        <f t="shared" si="34"/>
        <v>#VALUE!</v>
      </c>
      <c r="I129" s="7" t="e">
        <f t="shared" si="34"/>
        <v>#VALUE!</v>
      </c>
      <c r="J129" s="7" t="e">
        <f t="shared" si="34"/>
        <v>#VALUE!</v>
      </c>
      <c r="K129" s="7" t="e">
        <f t="shared" si="34"/>
        <v>#VALUE!</v>
      </c>
      <c r="L129" s="7" t="e">
        <f t="shared" si="34"/>
        <v>#VALUE!</v>
      </c>
      <c r="M129" s="7" t="e">
        <f t="shared" si="34"/>
        <v>#VALUE!</v>
      </c>
      <c r="N129" s="7" t="e">
        <f t="shared" si="34"/>
        <v>#VALUE!</v>
      </c>
      <c r="O129" s="7" t="e">
        <f t="shared" si="34"/>
        <v>#VALUE!</v>
      </c>
    </row>
    <row r="130" spans="1:15" x14ac:dyDescent="0.3">
      <c r="B130" t="str">
        <f t="shared" si="31"/>
        <v/>
      </c>
      <c r="C130" s="7" t="e">
        <f t="shared" si="32"/>
        <v>#VALUE!</v>
      </c>
      <c r="D130" s="7" t="e">
        <f t="shared" si="32"/>
        <v>#VALUE!</v>
      </c>
      <c r="E130" s="7" t="e">
        <f>E102/E$23</f>
        <v>#VALUE!</v>
      </c>
      <c r="F130" s="7" t="e">
        <f t="shared" si="32"/>
        <v>#VALUE!</v>
      </c>
      <c r="G130" s="7" t="e">
        <f t="shared" ref="G130:O130" si="35">G102/G$23</f>
        <v>#VALUE!</v>
      </c>
      <c r="H130" s="7" t="e">
        <f t="shared" si="35"/>
        <v>#VALUE!</v>
      </c>
      <c r="I130" s="7" t="e">
        <f t="shared" si="35"/>
        <v>#VALUE!</v>
      </c>
      <c r="J130" s="7" t="e">
        <f t="shared" si="35"/>
        <v>#VALUE!</v>
      </c>
      <c r="K130" s="7" t="e">
        <f t="shared" si="35"/>
        <v>#VALUE!</v>
      </c>
      <c r="L130" s="7" t="e">
        <f t="shared" si="35"/>
        <v>#VALUE!</v>
      </c>
      <c r="M130" s="7" t="e">
        <f t="shared" si="35"/>
        <v>#VALUE!</v>
      </c>
      <c r="N130" s="7" t="e">
        <f t="shared" si="35"/>
        <v>#VALUE!</v>
      </c>
      <c r="O130" s="7" t="e">
        <f t="shared" si="35"/>
        <v>#VALUE!</v>
      </c>
    </row>
    <row r="131" spans="1:15" x14ac:dyDescent="0.3">
      <c r="B131" t="str">
        <f t="shared" si="31"/>
        <v/>
      </c>
      <c r="C131" s="7" t="e">
        <f t="shared" si="32"/>
        <v>#VALUE!</v>
      </c>
      <c r="D131" s="7" t="e">
        <f t="shared" si="32"/>
        <v>#VALUE!</v>
      </c>
      <c r="E131" s="7" t="e">
        <f t="shared" si="32"/>
        <v>#VALUE!</v>
      </c>
      <c r="F131" s="7" t="e">
        <f t="shared" si="32"/>
        <v>#VALUE!</v>
      </c>
      <c r="G131" s="7" t="e">
        <f t="shared" ref="G131:O131" si="36">G103/G$23</f>
        <v>#VALUE!</v>
      </c>
      <c r="H131" s="7" t="e">
        <f t="shared" si="36"/>
        <v>#VALUE!</v>
      </c>
      <c r="I131" s="7" t="e">
        <f t="shared" si="36"/>
        <v>#VALUE!</v>
      </c>
      <c r="J131" s="7" t="e">
        <f t="shared" si="36"/>
        <v>#VALUE!</v>
      </c>
      <c r="K131" s="7" t="e">
        <f t="shared" si="36"/>
        <v>#VALUE!</v>
      </c>
      <c r="L131" s="7" t="e">
        <f t="shared" si="36"/>
        <v>#VALUE!</v>
      </c>
      <c r="M131" s="7" t="e">
        <f t="shared" si="36"/>
        <v>#VALUE!</v>
      </c>
      <c r="N131" s="7" t="e">
        <f t="shared" si="36"/>
        <v>#VALUE!</v>
      </c>
      <c r="O131" s="7" t="e">
        <f t="shared" si="36"/>
        <v>#VALUE!</v>
      </c>
    </row>
    <row r="132" spans="1:15" x14ac:dyDescent="0.3">
      <c r="B132" t="str">
        <f t="shared" si="31"/>
        <v/>
      </c>
      <c r="C132" s="7" t="e">
        <f>C104/C$23</f>
        <v>#VALUE!</v>
      </c>
      <c r="D132" s="7" t="e">
        <f t="shared" ref="D132:G132" si="37">D104/D$23</f>
        <v>#VALUE!</v>
      </c>
      <c r="E132" s="7" t="e">
        <f t="shared" si="37"/>
        <v>#VALUE!</v>
      </c>
      <c r="F132" s="7" t="e">
        <f t="shared" si="37"/>
        <v>#VALUE!</v>
      </c>
      <c r="G132" s="7" t="e">
        <f t="shared" si="37"/>
        <v>#VALUE!</v>
      </c>
      <c r="H132" s="7" t="e">
        <f t="shared" ref="H132:O132" si="38">H104/H$23</f>
        <v>#VALUE!</v>
      </c>
      <c r="I132" s="7" t="e">
        <f t="shared" si="38"/>
        <v>#VALUE!</v>
      </c>
      <c r="J132" s="7" t="e">
        <f t="shared" si="38"/>
        <v>#VALUE!</v>
      </c>
      <c r="K132" s="7" t="e">
        <f t="shared" si="38"/>
        <v>#VALUE!</v>
      </c>
      <c r="L132" s="7" t="e">
        <f t="shared" si="38"/>
        <v>#VALUE!</v>
      </c>
      <c r="M132" s="7" t="e">
        <f t="shared" si="38"/>
        <v>#VALUE!</v>
      </c>
      <c r="N132" s="7" t="e">
        <f t="shared" si="38"/>
        <v>#VALUE!</v>
      </c>
      <c r="O132" s="7" t="e">
        <f t="shared" si="38"/>
        <v>#VALUE!</v>
      </c>
    </row>
    <row r="133" spans="1:15" x14ac:dyDescent="0.3">
      <c r="B133" t="str">
        <f t="shared" si="31"/>
        <v/>
      </c>
      <c r="C133" s="7" t="e">
        <f t="shared" si="32"/>
        <v>#VALUE!</v>
      </c>
      <c r="D133" s="7" t="e">
        <f t="shared" si="32"/>
        <v>#VALUE!</v>
      </c>
      <c r="E133" s="7" t="e">
        <f t="shared" si="32"/>
        <v>#VALUE!</v>
      </c>
      <c r="F133" s="7" t="e">
        <f t="shared" si="32"/>
        <v>#VALUE!</v>
      </c>
      <c r="G133" s="7" t="e">
        <f t="shared" ref="G133:O133" si="39">G105/G$23</f>
        <v>#VALUE!</v>
      </c>
      <c r="H133" s="7" t="e">
        <f t="shared" si="39"/>
        <v>#VALUE!</v>
      </c>
      <c r="I133" s="7" t="e">
        <f t="shared" si="39"/>
        <v>#VALUE!</v>
      </c>
      <c r="J133" s="7" t="e">
        <f t="shared" si="39"/>
        <v>#VALUE!</v>
      </c>
      <c r="K133" s="7" t="e">
        <f t="shared" si="39"/>
        <v>#VALUE!</v>
      </c>
      <c r="L133" s="7" t="e">
        <f t="shared" si="39"/>
        <v>#VALUE!</v>
      </c>
      <c r="M133" s="7" t="e">
        <f t="shared" si="39"/>
        <v>#VALUE!</v>
      </c>
      <c r="N133" s="7" t="e">
        <f t="shared" si="39"/>
        <v>#VALUE!</v>
      </c>
      <c r="O133" s="7" t="e">
        <f t="shared" si="39"/>
        <v>#VALUE!</v>
      </c>
    </row>
    <row r="134" spans="1:15" x14ac:dyDescent="0.3">
      <c r="B134" t="str">
        <f t="shared" si="31"/>
        <v/>
      </c>
      <c r="C134" s="7" t="e">
        <f t="shared" si="32"/>
        <v>#VALUE!</v>
      </c>
      <c r="D134" s="7" t="e">
        <f t="shared" si="32"/>
        <v>#VALUE!</v>
      </c>
      <c r="E134" s="7" t="e">
        <f t="shared" si="32"/>
        <v>#VALUE!</v>
      </c>
      <c r="F134" s="7" t="e">
        <f t="shared" si="32"/>
        <v>#VALUE!</v>
      </c>
      <c r="G134" s="7" t="e">
        <f t="shared" ref="G134:O134" si="40">G106/G$23</f>
        <v>#VALUE!</v>
      </c>
      <c r="H134" s="7" t="e">
        <f t="shared" si="40"/>
        <v>#VALUE!</v>
      </c>
      <c r="I134" s="7" t="e">
        <f t="shared" si="40"/>
        <v>#VALUE!</v>
      </c>
      <c r="J134" s="7" t="e">
        <f t="shared" si="40"/>
        <v>#VALUE!</v>
      </c>
      <c r="K134" s="7" t="e">
        <f t="shared" si="40"/>
        <v>#VALUE!</v>
      </c>
      <c r="L134" s="7" t="e">
        <f t="shared" si="40"/>
        <v>#VALUE!</v>
      </c>
      <c r="M134" s="7" t="e">
        <f t="shared" si="40"/>
        <v>#VALUE!</v>
      </c>
      <c r="N134" s="7" t="e">
        <f t="shared" si="40"/>
        <v>#VALUE!</v>
      </c>
      <c r="O134" s="7" t="e">
        <f t="shared" si="40"/>
        <v>#VALUE!</v>
      </c>
    </row>
    <row r="135" spans="1:15" x14ac:dyDescent="0.3">
      <c r="B135" t="str">
        <f t="shared" si="31"/>
        <v/>
      </c>
      <c r="C135" s="7" t="e">
        <f>C107/C$23</f>
        <v>#VALUE!</v>
      </c>
      <c r="D135" s="7" t="e">
        <f t="shared" ref="D135:G135" si="41">D107/D$23</f>
        <v>#VALUE!</v>
      </c>
      <c r="E135" s="7" t="e">
        <f t="shared" si="41"/>
        <v>#VALUE!</v>
      </c>
      <c r="F135" s="7" t="e">
        <f t="shared" si="41"/>
        <v>#VALUE!</v>
      </c>
      <c r="G135" s="7" t="e">
        <f t="shared" si="41"/>
        <v>#VALUE!</v>
      </c>
      <c r="H135" s="7" t="e">
        <f t="shared" ref="H135:O135" si="42">H107/H$23</f>
        <v>#VALUE!</v>
      </c>
      <c r="I135" s="7" t="e">
        <f t="shared" si="42"/>
        <v>#VALUE!</v>
      </c>
      <c r="J135" s="7" t="e">
        <f t="shared" si="42"/>
        <v>#VALUE!</v>
      </c>
      <c r="K135" s="7" t="e">
        <f t="shared" si="42"/>
        <v>#VALUE!</v>
      </c>
      <c r="L135" s="7" t="e">
        <f t="shared" si="42"/>
        <v>#VALUE!</v>
      </c>
      <c r="M135" s="7" t="e">
        <f t="shared" si="42"/>
        <v>#VALUE!</v>
      </c>
      <c r="N135" s="7" t="e">
        <f t="shared" si="42"/>
        <v>#VALUE!</v>
      </c>
      <c r="O135" s="7" t="e">
        <f t="shared" si="42"/>
        <v>#VALUE!</v>
      </c>
    </row>
    <row r="136" spans="1:15" x14ac:dyDescent="0.3">
      <c r="B136" t="str">
        <f t="shared" si="31"/>
        <v/>
      </c>
      <c r="C136" s="7" t="e">
        <f t="shared" ref="C136:F136" si="43">C108/C$23</f>
        <v>#VALUE!</v>
      </c>
      <c r="D136" s="7" t="e">
        <f t="shared" si="43"/>
        <v>#VALUE!</v>
      </c>
      <c r="E136" s="7" t="e">
        <f t="shared" si="43"/>
        <v>#VALUE!</v>
      </c>
      <c r="F136" s="7" t="e">
        <f t="shared" si="43"/>
        <v>#VALUE!</v>
      </c>
      <c r="G136" s="7" t="e">
        <f t="shared" ref="G136:O136" si="44">G108/G$23</f>
        <v>#VALUE!</v>
      </c>
      <c r="H136" s="7" t="e">
        <f t="shared" si="44"/>
        <v>#VALUE!</v>
      </c>
      <c r="I136" s="7" t="e">
        <f t="shared" si="44"/>
        <v>#VALUE!</v>
      </c>
      <c r="J136" s="7" t="e">
        <f t="shared" si="44"/>
        <v>#VALUE!</v>
      </c>
      <c r="K136" s="7" t="e">
        <f t="shared" si="44"/>
        <v>#VALUE!</v>
      </c>
      <c r="L136" s="7" t="e">
        <f t="shared" si="44"/>
        <v>#VALUE!</v>
      </c>
      <c r="M136" s="7" t="e">
        <f t="shared" si="44"/>
        <v>#VALUE!</v>
      </c>
      <c r="N136" s="7" t="e">
        <f t="shared" si="44"/>
        <v>#VALUE!</v>
      </c>
      <c r="O136" s="7" t="e">
        <f t="shared" si="44"/>
        <v>#VALUE!</v>
      </c>
    </row>
    <row r="137" spans="1:15" s="13" customFormat="1" x14ac:dyDescent="0.3"/>
    <row r="138" spans="1:15" s="15" customFormat="1" ht="16.2" x14ac:dyDescent="0.3">
      <c r="A138" s="16" t="s">
        <v>54</v>
      </c>
    </row>
    <row r="139" spans="1:15" ht="16.8" x14ac:dyDescent="0.35">
      <c r="B139" s="1" t="s">
        <v>55</v>
      </c>
    </row>
    <row r="140" spans="1:15" x14ac:dyDescent="0.3">
      <c r="B140" s="1" t="s">
        <v>40</v>
      </c>
      <c r="C140" s="1" t="str">
        <f>IF(ISBLANK(C3),"",C3)</f>
        <v/>
      </c>
      <c r="D140" s="1" t="str">
        <f t="shared" ref="D140:O140" si="45">IF(ISBLANK(D3),"",D3)</f>
        <v/>
      </c>
      <c r="E140" s="1" t="str">
        <f t="shared" si="45"/>
        <v/>
      </c>
      <c r="F140" s="1" t="str">
        <f t="shared" si="45"/>
        <v/>
      </c>
      <c r="G140" s="1" t="str">
        <f t="shared" si="45"/>
        <v/>
      </c>
      <c r="H140" s="1" t="str">
        <f t="shared" si="45"/>
        <v/>
      </c>
      <c r="I140" s="1" t="str">
        <f t="shared" si="45"/>
        <v/>
      </c>
      <c r="J140" s="1" t="str">
        <f t="shared" si="45"/>
        <v/>
      </c>
      <c r="K140" s="1" t="str">
        <f t="shared" si="45"/>
        <v/>
      </c>
      <c r="L140" s="1" t="str">
        <f t="shared" si="45"/>
        <v/>
      </c>
      <c r="M140" s="1" t="str">
        <f t="shared" si="45"/>
        <v/>
      </c>
      <c r="N140" s="1" t="str">
        <f t="shared" si="45"/>
        <v/>
      </c>
      <c r="O140" s="1" t="str">
        <f t="shared" si="45"/>
        <v/>
      </c>
    </row>
    <row r="141" spans="1:15" x14ac:dyDescent="0.3">
      <c r="B141" t="str">
        <f>IF(ISBLANK(B43),"",B43)</f>
        <v/>
      </c>
      <c r="C141" s="7" t="e">
        <f>IF(C$23&lt;1,C127,C113)</f>
        <v>#VALUE!</v>
      </c>
      <c r="D141" s="7" t="e">
        <f t="shared" ref="D141:O141" si="46">IF(D$23&lt;1,D127,D113)</f>
        <v>#VALUE!</v>
      </c>
      <c r="E141" s="7" t="e">
        <f t="shared" si="46"/>
        <v>#VALUE!</v>
      </c>
      <c r="F141" s="7" t="e">
        <f t="shared" si="46"/>
        <v>#VALUE!</v>
      </c>
      <c r="G141" s="7" t="e">
        <f t="shared" si="46"/>
        <v>#VALUE!</v>
      </c>
      <c r="H141" s="7" t="e">
        <f t="shared" si="46"/>
        <v>#VALUE!</v>
      </c>
      <c r="I141" s="7" t="e">
        <f t="shared" si="46"/>
        <v>#VALUE!</v>
      </c>
      <c r="J141" s="7" t="e">
        <f t="shared" si="46"/>
        <v>#VALUE!</v>
      </c>
      <c r="K141" s="7" t="e">
        <f t="shared" si="46"/>
        <v>#VALUE!</v>
      </c>
      <c r="L141" s="7" t="e">
        <f t="shared" si="46"/>
        <v>#VALUE!</v>
      </c>
      <c r="M141" s="7" t="e">
        <f t="shared" si="46"/>
        <v>#VALUE!</v>
      </c>
      <c r="N141" s="7" t="e">
        <f t="shared" si="46"/>
        <v>#VALUE!</v>
      </c>
      <c r="O141" s="7" t="e">
        <f t="shared" si="46"/>
        <v>#VALUE!</v>
      </c>
    </row>
    <row r="142" spans="1:15" x14ac:dyDescent="0.3">
      <c r="B142" t="str">
        <f t="shared" ref="B142:B150" si="47">IF(ISBLANK(B44),"",B44)</f>
        <v/>
      </c>
      <c r="C142" s="7" t="e">
        <f t="shared" ref="C142:O150" si="48">IF(C$23&lt;1,C128,C114)</f>
        <v>#VALUE!</v>
      </c>
      <c r="D142" s="7" t="e">
        <f t="shared" si="48"/>
        <v>#VALUE!</v>
      </c>
      <c r="E142" s="7" t="e">
        <f>IF(E$23&lt;1,E128,E114)</f>
        <v>#VALUE!</v>
      </c>
      <c r="F142" s="7" t="e">
        <f t="shared" si="48"/>
        <v>#VALUE!</v>
      </c>
      <c r="G142" s="7" t="e">
        <f t="shared" si="48"/>
        <v>#VALUE!</v>
      </c>
      <c r="H142" s="7" t="e">
        <f t="shared" si="48"/>
        <v>#VALUE!</v>
      </c>
      <c r="I142" s="7" t="e">
        <f t="shared" si="48"/>
        <v>#VALUE!</v>
      </c>
      <c r="J142" s="7" t="e">
        <f t="shared" si="48"/>
        <v>#VALUE!</v>
      </c>
      <c r="K142" s="7" t="e">
        <f t="shared" si="48"/>
        <v>#VALUE!</v>
      </c>
      <c r="L142" s="7" t="e">
        <f t="shared" si="48"/>
        <v>#VALUE!</v>
      </c>
      <c r="M142" s="7" t="e">
        <f t="shared" si="48"/>
        <v>#VALUE!</v>
      </c>
      <c r="N142" s="7" t="e">
        <f t="shared" si="48"/>
        <v>#VALUE!</v>
      </c>
      <c r="O142" s="7" t="e">
        <f t="shared" si="48"/>
        <v>#VALUE!</v>
      </c>
    </row>
    <row r="143" spans="1:15" x14ac:dyDescent="0.3">
      <c r="B143" t="str">
        <f t="shared" si="47"/>
        <v/>
      </c>
      <c r="C143" s="7" t="e">
        <f t="shared" si="48"/>
        <v>#VALUE!</v>
      </c>
      <c r="D143" s="7" t="e">
        <f t="shared" si="48"/>
        <v>#VALUE!</v>
      </c>
      <c r="E143" s="7" t="e">
        <f t="shared" si="48"/>
        <v>#VALUE!</v>
      </c>
      <c r="F143" s="7" t="e">
        <f t="shared" si="48"/>
        <v>#VALUE!</v>
      </c>
      <c r="G143" s="7" t="e">
        <f t="shared" si="48"/>
        <v>#VALUE!</v>
      </c>
      <c r="H143" s="7" t="e">
        <f t="shared" si="48"/>
        <v>#VALUE!</v>
      </c>
      <c r="I143" s="7" t="e">
        <f t="shared" si="48"/>
        <v>#VALUE!</v>
      </c>
      <c r="J143" s="7" t="e">
        <f t="shared" si="48"/>
        <v>#VALUE!</v>
      </c>
      <c r="K143" s="7" t="e">
        <f t="shared" si="48"/>
        <v>#VALUE!</v>
      </c>
      <c r="L143" s="7" t="e">
        <f t="shared" si="48"/>
        <v>#VALUE!</v>
      </c>
      <c r="M143" s="7" t="e">
        <f t="shared" si="48"/>
        <v>#VALUE!</v>
      </c>
      <c r="N143" s="7" t="e">
        <f t="shared" si="48"/>
        <v>#VALUE!</v>
      </c>
      <c r="O143" s="7" t="e">
        <f t="shared" si="48"/>
        <v>#VALUE!</v>
      </c>
    </row>
    <row r="144" spans="1:15" x14ac:dyDescent="0.3">
      <c r="B144" t="str">
        <f t="shared" si="47"/>
        <v/>
      </c>
      <c r="C144" s="7" t="e">
        <f t="shared" si="48"/>
        <v>#VALUE!</v>
      </c>
      <c r="D144" s="7" t="e">
        <f t="shared" si="48"/>
        <v>#VALUE!</v>
      </c>
      <c r="E144" s="7" t="e">
        <f t="shared" si="48"/>
        <v>#VALUE!</v>
      </c>
      <c r="F144" s="7" t="e">
        <f t="shared" si="48"/>
        <v>#VALUE!</v>
      </c>
      <c r="G144" s="7" t="e">
        <f t="shared" si="48"/>
        <v>#VALUE!</v>
      </c>
      <c r="H144" s="7" t="e">
        <f t="shared" si="48"/>
        <v>#VALUE!</v>
      </c>
      <c r="I144" s="7" t="e">
        <f t="shared" si="48"/>
        <v>#VALUE!</v>
      </c>
      <c r="J144" s="7" t="e">
        <f t="shared" si="48"/>
        <v>#VALUE!</v>
      </c>
      <c r="K144" s="7" t="e">
        <f t="shared" si="48"/>
        <v>#VALUE!</v>
      </c>
      <c r="L144" s="7" t="e">
        <f t="shared" si="48"/>
        <v>#VALUE!</v>
      </c>
      <c r="M144" s="7" t="e">
        <f t="shared" si="48"/>
        <v>#VALUE!</v>
      </c>
      <c r="N144" s="7" t="e">
        <f t="shared" si="48"/>
        <v>#VALUE!</v>
      </c>
      <c r="O144" s="7" t="e">
        <f t="shared" si="48"/>
        <v>#VALUE!</v>
      </c>
    </row>
    <row r="145" spans="1:15" x14ac:dyDescent="0.3">
      <c r="B145" t="str">
        <f t="shared" si="47"/>
        <v/>
      </c>
      <c r="C145" s="7" t="e">
        <f t="shared" si="48"/>
        <v>#VALUE!</v>
      </c>
      <c r="D145" s="7" t="e">
        <f t="shared" si="48"/>
        <v>#VALUE!</v>
      </c>
      <c r="E145" s="7" t="e">
        <f t="shared" si="48"/>
        <v>#VALUE!</v>
      </c>
      <c r="F145" s="7" t="e">
        <f t="shared" si="48"/>
        <v>#VALUE!</v>
      </c>
      <c r="G145" s="7" t="e">
        <f t="shared" si="48"/>
        <v>#VALUE!</v>
      </c>
      <c r="H145" s="7" t="e">
        <f t="shared" si="48"/>
        <v>#VALUE!</v>
      </c>
      <c r="I145" s="7" t="e">
        <f t="shared" si="48"/>
        <v>#VALUE!</v>
      </c>
      <c r="J145" s="7" t="e">
        <f t="shared" si="48"/>
        <v>#VALUE!</v>
      </c>
      <c r="K145" s="7" t="e">
        <f t="shared" si="48"/>
        <v>#VALUE!</v>
      </c>
      <c r="L145" s="7" t="e">
        <f t="shared" si="48"/>
        <v>#VALUE!</v>
      </c>
      <c r="M145" s="7" t="e">
        <f t="shared" si="48"/>
        <v>#VALUE!</v>
      </c>
      <c r="N145" s="7" t="e">
        <f t="shared" si="48"/>
        <v>#VALUE!</v>
      </c>
      <c r="O145" s="7" t="e">
        <f t="shared" si="48"/>
        <v>#VALUE!</v>
      </c>
    </row>
    <row r="146" spans="1:15" x14ac:dyDescent="0.3">
      <c r="B146" t="str">
        <f t="shared" si="47"/>
        <v/>
      </c>
      <c r="C146" s="7" t="e">
        <f t="shared" si="48"/>
        <v>#VALUE!</v>
      </c>
      <c r="D146" s="7" t="e">
        <f t="shared" si="48"/>
        <v>#VALUE!</v>
      </c>
      <c r="E146" s="7" t="e">
        <f t="shared" si="48"/>
        <v>#VALUE!</v>
      </c>
      <c r="F146" s="7" t="e">
        <f t="shared" si="48"/>
        <v>#VALUE!</v>
      </c>
      <c r="G146" s="7" t="e">
        <f t="shared" si="48"/>
        <v>#VALUE!</v>
      </c>
      <c r="H146" s="7" t="e">
        <f t="shared" si="48"/>
        <v>#VALUE!</v>
      </c>
      <c r="I146" s="7" t="e">
        <f t="shared" si="48"/>
        <v>#VALUE!</v>
      </c>
      <c r="J146" s="7" t="e">
        <f t="shared" si="48"/>
        <v>#VALUE!</v>
      </c>
      <c r="K146" s="7" t="e">
        <f t="shared" si="48"/>
        <v>#VALUE!</v>
      </c>
      <c r="L146" s="7" t="e">
        <f t="shared" si="48"/>
        <v>#VALUE!</v>
      </c>
      <c r="M146" s="7" t="e">
        <f t="shared" si="48"/>
        <v>#VALUE!</v>
      </c>
      <c r="N146" s="7" t="e">
        <f t="shared" si="48"/>
        <v>#VALUE!</v>
      </c>
      <c r="O146" s="7" t="e">
        <f t="shared" si="48"/>
        <v>#VALUE!</v>
      </c>
    </row>
    <row r="147" spans="1:15" x14ac:dyDescent="0.3">
      <c r="B147" t="str">
        <f t="shared" si="47"/>
        <v/>
      </c>
      <c r="C147" s="7" t="e">
        <f t="shared" si="48"/>
        <v>#VALUE!</v>
      </c>
      <c r="D147" s="7" t="e">
        <f t="shared" si="48"/>
        <v>#VALUE!</v>
      </c>
      <c r="E147" s="7" t="e">
        <f t="shared" si="48"/>
        <v>#VALUE!</v>
      </c>
      <c r="F147" s="7" t="e">
        <f t="shared" si="48"/>
        <v>#VALUE!</v>
      </c>
      <c r="G147" s="7" t="e">
        <f t="shared" si="48"/>
        <v>#VALUE!</v>
      </c>
      <c r="H147" s="7" t="e">
        <f t="shared" si="48"/>
        <v>#VALUE!</v>
      </c>
      <c r="I147" s="7" t="e">
        <f t="shared" si="48"/>
        <v>#VALUE!</v>
      </c>
      <c r="J147" s="7" t="e">
        <f t="shared" si="48"/>
        <v>#VALUE!</v>
      </c>
      <c r="K147" s="7" t="e">
        <f t="shared" si="48"/>
        <v>#VALUE!</v>
      </c>
      <c r="L147" s="7" t="e">
        <f t="shared" si="48"/>
        <v>#VALUE!</v>
      </c>
      <c r="M147" s="7" t="e">
        <f t="shared" si="48"/>
        <v>#VALUE!</v>
      </c>
      <c r="N147" s="7" t="e">
        <f t="shared" si="48"/>
        <v>#VALUE!</v>
      </c>
      <c r="O147" s="7" t="e">
        <f t="shared" si="48"/>
        <v>#VALUE!</v>
      </c>
    </row>
    <row r="148" spans="1:15" x14ac:dyDescent="0.3">
      <c r="B148" t="str">
        <f t="shared" si="47"/>
        <v/>
      </c>
      <c r="C148" s="7" t="e">
        <f t="shared" si="48"/>
        <v>#VALUE!</v>
      </c>
      <c r="D148" s="7" t="e">
        <f t="shared" si="48"/>
        <v>#VALUE!</v>
      </c>
      <c r="E148" s="7" t="e">
        <f t="shared" si="48"/>
        <v>#VALUE!</v>
      </c>
      <c r="F148" s="7" t="e">
        <f t="shared" si="48"/>
        <v>#VALUE!</v>
      </c>
      <c r="G148" s="7" t="e">
        <f t="shared" si="48"/>
        <v>#VALUE!</v>
      </c>
      <c r="H148" s="7" t="e">
        <f t="shared" si="48"/>
        <v>#VALUE!</v>
      </c>
      <c r="I148" s="7" t="e">
        <f t="shared" si="48"/>
        <v>#VALUE!</v>
      </c>
      <c r="J148" s="7" t="e">
        <f t="shared" si="48"/>
        <v>#VALUE!</v>
      </c>
      <c r="K148" s="7" t="e">
        <f t="shared" si="48"/>
        <v>#VALUE!</v>
      </c>
      <c r="L148" s="7" t="e">
        <f t="shared" si="48"/>
        <v>#VALUE!</v>
      </c>
      <c r="M148" s="7" t="e">
        <f t="shared" si="48"/>
        <v>#VALUE!</v>
      </c>
      <c r="N148" s="7" t="e">
        <f t="shared" si="48"/>
        <v>#VALUE!</v>
      </c>
      <c r="O148" s="7" t="e">
        <f t="shared" si="48"/>
        <v>#VALUE!</v>
      </c>
    </row>
    <row r="149" spans="1:15" x14ac:dyDescent="0.3">
      <c r="B149" t="str">
        <f t="shared" si="47"/>
        <v/>
      </c>
      <c r="C149" s="7" t="e">
        <f t="shared" si="48"/>
        <v>#VALUE!</v>
      </c>
      <c r="D149" s="7" t="e">
        <f t="shared" si="48"/>
        <v>#VALUE!</v>
      </c>
      <c r="E149" s="7" t="e">
        <f t="shared" si="48"/>
        <v>#VALUE!</v>
      </c>
      <c r="F149" s="7" t="e">
        <f t="shared" si="48"/>
        <v>#VALUE!</v>
      </c>
      <c r="G149" s="7" t="e">
        <f t="shared" si="48"/>
        <v>#VALUE!</v>
      </c>
      <c r="H149" s="7" t="e">
        <f t="shared" si="48"/>
        <v>#VALUE!</v>
      </c>
      <c r="I149" s="7" t="e">
        <f t="shared" si="48"/>
        <v>#VALUE!</v>
      </c>
      <c r="J149" s="7" t="e">
        <f t="shared" si="48"/>
        <v>#VALUE!</v>
      </c>
      <c r="K149" s="7" t="e">
        <f t="shared" si="48"/>
        <v>#VALUE!</v>
      </c>
      <c r="L149" s="7" t="e">
        <f t="shared" si="48"/>
        <v>#VALUE!</v>
      </c>
      <c r="M149" s="7" t="e">
        <f t="shared" si="48"/>
        <v>#VALUE!</v>
      </c>
      <c r="N149" s="7" t="e">
        <f t="shared" si="48"/>
        <v>#VALUE!</v>
      </c>
      <c r="O149" s="7" t="e">
        <f t="shared" si="48"/>
        <v>#VALUE!</v>
      </c>
    </row>
    <row r="150" spans="1:15" x14ac:dyDescent="0.3">
      <c r="B150" t="str">
        <f t="shared" si="47"/>
        <v/>
      </c>
      <c r="C150" s="7" t="e">
        <f t="shared" si="48"/>
        <v>#VALUE!</v>
      </c>
      <c r="D150" s="7" t="e">
        <f t="shared" si="48"/>
        <v>#VALUE!</v>
      </c>
      <c r="E150" s="7" t="e">
        <f t="shared" si="48"/>
        <v>#VALUE!</v>
      </c>
      <c r="F150" s="7" t="e">
        <f t="shared" si="48"/>
        <v>#VALUE!</v>
      </c>
      <c r="G150" s="7" t="e">
        <f t="shared" si="48"/>
        <v>#VALUE!</v>
      </c>
      <c r="H150" s="7" t="e">
        <f t="shared" si="48"/>
        <v>#VALUE!</v>
      </c>
      <c r="I150" s="7" t="e">
        <f t="shared" si="48"/>
        <v>#VALUE!</v>
      </c>
      <c r="J150" s="7" t="e">
        <f t="shared" si="48"/>
        <v>#VALUE!</v>
      </c>
      <c r="K150" s="7" t="e">
        <f t="shared" si="48"/>
        <v>#VALUE!</v>
      </c>
      <c r="L150" s="7" t="e">
        <f t="shared" si="48"/>
        <v>#VALUE!</v>
      </c>
      <c r="M150" s="7" t="e">
        <f t="shared" si="48"/>
        <v>#VALUE!</v>
      </c>
      <c r="N150" s="7" t="e">
        <f t="shared" si="48"/>
        <v>#VALUE!</v>
      </c>
      <c r="O150" s="7" t="e">
        <f t="shared" si="48"/>
        <v>#VALUE!</v>
      </c>
    </row>
    <row r="151" spans="1:15" s="13" customFormat="1" x14ac:dyDescent="0.3"/>
    <row r="152" spans="1:15" s="15" customFormat="1" x14ac:dyDescent="0.3">
      <c r="A152" s="16" t="s">
        <v>56</v>
      </c>
    </row>
    <row r="153" spans="1:15" x14ac:dyDescent="0.3">
      <c r="B153" s="1" t="s">
        <v>57</v>
      </c>
    </row>
    <row r="154" spans="1:15" x14ac:dyDescent="0.3">
      <c r="B154" s="1" t="s">
        <v>40</v>
      </c>
      <c r="C154" s="1" t="str">
        <f>IF(ISBLANK(C3),"",C3)</f>
        <v/>
      </c>
      <c r="D154" s="1" t="str">
        <f t="shared" ref="D154:O154" si="49">IF(ISBLANK(D3),"",D3)</f>
        <v/>
      </c>
      <c r="E154" s="1" t="str">
        <f t="shared" si="49"/>
        <v/>
      </c>
      <c r="F154" s="1" t="str">
        <f t="shared" si="49"/>
        <v/>
      </c>
      <c r="G154" s="1" t="str">
        <f t="shared" si="49"/>
        <v/>
      </c>
      <c r="H154" s="1" t="str">
        <f t="shared" si="49"/>
        <v/>
      </c>
      <c r="I154" s="1" t="str">
        <f t="shared" si="49"/>
        <v/>
      </c>
      <c r="J154" s="1" t="str">
        <f t="shared" si="49"/>
        <v/>
      </c>
      <c r="K154" s="1" t="str">
        <f t="shared" si="49"/>
        <v/>
      </c>
      <c r="L154" s="1" t="str">
        <f t="shared" si="49"/>
        <v/>
      </c>
      <c r="M154" s="1" t="str">
        <f t="shared" si="49"/>
        <v/>
      </c>
      <c r="N154" s="1" t="str">
        <f t="shared" si="49"/>
        <v/>
      </c>
      <c r="O154" s="1" t="str">
        <f t="shared" si="49"/>
        <v/>
      </c>
    </row>
    <row r="155" spans="1:15" x14ac:dyDescent="0.3">
      <c r="B155" t="str">
        <f>IF(ISBLANK(B43),"",B43)</f>
        <v/>
      </c>
      <c r="C155" s="11" t="e">
        <f>VLOOKUP($B155,$B$57:$C$66,2,FALSE)*C$37</f>
        <v>#VALUE!</v>
      </c>
      <c r="D155" s="11" t="e">
        <f t="shared" ref="D155:O156" si="50">VLOOKUP($B155,$B$57:$C$66,2,FALSE)*D$37</f>
        <v>#VALUE!</v>
      </c>
      <c r="E155" s="7" t="e">
        <f t="shared" si="50"/>
        <v>#VALUE!</v>
      </c>
      <c r="F155" s="7" t="e">
        <f t="shared" si="50"/>
        <v>#VALUE!</v>
      </c>
      <c r="G155" s="7" t="e">
        <f t="shared" si="50"/>
        <v>#VALUE!</v>
      </c>
      <c r="H155" s="7" t="e">
        <f t="shared" si="50"/>
        <v>#VALUE!</v>
      </c>
      <c r="I155" s="7" t="e">
        <f t="shared" si="50"/>
        <v>#VALUE!</v>
      </c>
      <c r="J155" s="7" t="e">
        <f t="shared" si="50"/>
        <v>#VALUE!</v>
      </c>
      <c r="K155" s="7" t="e">
        <f t="shared" si="50"/>
        <v>#VALUE!</v>
      </c>
      <c r="L155" s="7" t="e">
        <f t="shared" si="50"/>
        <v>#VALUE!</v>
      </c>
      <c r="M155" s="7" t="e">
        <f t="shared" si="50"/>
        <v>#VALUE!</v>
      </c>
      <c r="N155" s="7" t="e">
        <f t="shared" si="50"/>
        <v>#VALUE!</v>
      </c>
      <c r="O155" s="7" t="e">
        <f t="shared" si="50"/>
        <v>#VALUE!</v>
      </c>
    </row>
    <row r="156" spans="1:15" x14ac:dyDescent="0.3">
      <c r="B156" t="str">
        <f t="shared" ref="B156:B164" si="51">IF(ISBLANK(B44),"",B44)</f>
        <v/>
      </c>
      <c r="C156" s="11" t="e">
        <f>VLOOKUP($B156,$B$57:$C$66,2,FALSE)*C$37</f>
        <v>#VALUE!</v>
      </c>
      <c r="D156" s="11" t="e">
        <f t="shared" si="50"/>
        <v>#VALUE!</v>
      </c>
      <c r="E156" s="7" t="e">
        <f t="shared" si="50"/>
        <v>#VALUE!</v>
      </c>
      <c r="F156" s="7" t="e">
        <f t="shared" si="50"/>
        <v>#VALUE!</v>
      </c>
      <c r="G156" s="7" t="e">
        <f t="shared" si="50"/>
        <v>#VALUE!</v>
      </c>
      <c r="H156" s="7" t="e">
        <f t="shared" si="50"/>
        <v>#VALUE!</v>
      </c>
      <c r="I156" s="7" t="e">
        <f t="shared" si="50"/>
        <v>#VALUE!</v>
      </c>
      <c r="J156" s="7" t="e">
        <f t="shared" si="50"/>
        <v>#VALUE!</v>
      </c>
      <c r="K156" s="7" t="e">
        <f t="shared" si="50"/>
        <v>#VALUE!</v>
      </c>
      <c r="L156" s="7" t="e">
        <f t="shared" si="50"/>
        <v>#VALUE!</v>
      </c>
      <c r="M156" s="7" t="e">
        <f t="shared" si="50"/>
        <v>#VALUE!</v>
      </c>
      <c r="N156" s="7" t="e">
        <f t="shared" si="50"/>
        <v>#VALUE!</v>
      </c>
      <c r="O156" s="7" t="e">
        <f t="shared" si="50"/>
        <v>#VALUE!</v>
      </c>
    </row>
    <row r="157" spans="1:15" x14ac:dyDescent="0.3">
      <c r="B157" t="str">
        <f t="shared" si="51"/>
        <v/>
      </c>
      <c r="C157" s="11" t="e">
        <f t="shared" ref="C157:O164" si="52">VLOOKUP($B157,$B$57:$C$66,2,FALSE)*C$37</f>
        <v>#VALUE!</v>
      </c>
      <c r="D157" s="11" t="e">
        <f t="shared" si="52"/>
        <v>#VALUE!</v>
      </c>
      <c r="E157" s="7" t="e">
        <f t="shared" si="52"/>
        <v>#VALUE!</v>
      </c>
      <c r="F157" s="7" t="e">
        <f t="shared" si="52"/>
        <v>#VALUE!</v>
      </c>
      <c r="G157" s="7" t="e">
        <f t="shared" si="52"/>
        <v>#VALUE!</v>
      </c>
      <c r="H157" s="7" t="e">
        <f t="shared" si="52"/>
        <v>#VALUE!</v>
      </c>
      <c r="I157" s="7" t="e">
        <f t="shared" si="52"/>
        <v>#VALUE!</v>
      </c>
      <c r="J157" s="7" t="e">
        <f t="shared" si="52"/>
        <v>#VALUE!</v>
      </c>
      <c r="K157" s="7" t="e">
        <f t="shared" si="52"/>
        <v>#VALUE!</v>
      </c>
      <c r="L157" s="7" t="e">
        <f t="shared" si="52"/>
        <v>#VALUE!</v>
      </c>
      <c r="M157" s="7" t="e">
        <f t="shared" si="52"/>
        <v>#VALUE!</v>
      </c>
      <c r="N157" s="7" t="e">
        <f t="shared" si="52"/>
        <v>#VALUE!</v>
      </c>
      <c r="O157" s="7" t="e">
        <f t="shared" si="52"/>
        <v>#VALUE!</v>
      </c>
    </row>
    <row r="158" spans="1:15" x14ac:dyDescent="0.3">
      <c r="B158" t="str">
        <f t="shared" si="51"/>
        <v/>
      </c>
      <c r="C158" s="11" t="e">
        <f t="shared" si="52"/>
        <v>#VALUE!</v>
      </c>
      <c r="D158" s="11" t="e">
        <f t="shared" si="52"/>
        <v>#VALUE!</v>
      </c>
      <c r="E158" s="7" t="e">
        <f t="shared" si="52"/>
        <v>#VALUE!</v>
      </c>
      <c r="F158" s="7" t="e">
        <f t="shared" si="52"/>
        <v>#VALUE!</v>
      </c>
      <c r="G158" s="7" t="e">
        <f t="shared" si="52"/>
        <v>#VALUE!</v>
      </c>
      <c r="H158" s="7" t="e">
        <f t="shared" si="52"/>
        <v>#VALUE!</v>
      </c>
      <c r="I158" s="7" t="e">
        <f t="shared" si="52"/>
        <v>#VALUE!</v>
      </c>
      <c r="J158" s="7" t="e">
        <f t="shared" si="52"/>
        <v>#VALUE!</v>
      </c>
      <c r="K158" s="7" t="e">
        <f t="shared" si="52"/>
        <v>#VALUE!</v>
      </c>
      <c r="L158" s="7" t="e">
        <f t="shared" si="52"/>
        <v>#VALUE!</v>
      </c>
      <c r="M158" s="7" t="e">
        <f t="shared" si="52"/>
        <v>#VALUE!</v>
      </c>
      <c r="N158" s="7" t="e">
        <f t="shared" si="52"/>
        <v>#VALUE!</v>
      </c>
      <c r="O158" s="7" t="e">
        <f t="shared" si="52"/>
        <v>#VALUE!</v>
      </c>
    </row>
    <row r="159" spans="1:15" x14ac:dyDescent="0.3">
      <c r="B159" t="str">
        <f t="shared" si="51"/>
        <v/>
      </c>
      <c r="C159" s="7" t="e">
        <f t="shared" si="52"/>
        <v>#VALUE!</v>
      </c>
      <c r="D159" s="7" t="e">
        <f t="shared" si="52"/>
        <v>#VALUE!</v>
      </c>
      <c r="E159" s="7" t="e">
        <f t="shared" si="52"/>
        <v>#VALUE!</v>
      </c>
      <c r="F159" s="7" t="e">
        <f t="shared" si="52"/>
        <v>#VALUE!</v>
      </c>
      <c r="G159" s="7" t="e">
        <f>VLOOKUP($B159,$B$57:$C$66,2,FALSE)*G$37</f>
        <v>#VALUE!</v>
      </c>
      <c r="H159" s="7" t="e">
        <f t="shared" si="52"/>
        <v>#VALUE!</v>
      </c>
      <c r="I159" s="7" t="e">
        <f t="shared" si="52"/>
        <v>#VALUE!</v>
      </c>
      <c r="J159" s="7" t="e">
        <f t="shared" si="52"/>
        <v>#VALUE!</v>
      </c>
      <c r="K159" s="7" t="e">
        <f t="shared" si="52"/>
        <v>#VALUE!</v>
      </c>
      <c r="L159" s="7" t="e">
        <f t="shared" si="52"/>
        <v>#VALUE!</v>
      </c>
      <c r="M159" s="7" t="e">
        <f t="shared" si="52"/>
        <v>#VALUE!</v>
      </c>
      <c r="N159" s="7" t="e">
        <f t="shared" si="52"/>
        <v>#VALUE!</v>
      </c>
      <c r="O159" s="7" t="e">
        <f t="shared" si="52"/>
        <v>#VALUE!</v>
      </c>
    </row>
    <row r="160" spans="1:15" x14ac:dyDescent="0.3">
      <c r="B160" t="str">
        <f t="shared" si="51"/>
        <v/>
      </c>
      <c r="C160" s="7" t="e">
        <f t="shared" si="52"/>
        <v>#VALUE!</v>
      </c>
      <c r="D160" s="7" t="e">
        <f t="shared" si="52"/>
        <v>#VALUE!</v>
      </c>
      <c r="E160" s="7" t="e">
        <f t="shared" si="52"/>
        <v>#VALUE!</v>
      </c>
      <c r="F160" s="7" t="e">
        <f t="shared" si="52"/>
        <v>#VALUE!</v>
      </c>
      <c r="G160" s="7" t="e">
        <f t="shared" si="52"/>
        <v>#VALUE!</v>
      </c>
      <c r="H160" s="7" t="e">
        <f t="shared" si="52"/>
        <v>#VALUE!</v>
      </c>
      <c r="I160" s="7" t="e">
        <f t="shared" si="52"/>
        <v>#VALUE!</v>
      </c>
      <c r="J160" s="7" t="e">
        <f t="shared" si="52"/>
        <v>#VALUE!</v>
      </c>
      <c r="K160" s="7" t="e">
        <f t="shared" si="52"/>
        <v>#VALUE!</v>
      </c>
      <c r="L160" s="7" t="e">
        <f t="shared" si="52"/>
        <v>#VALUE!</v>
      </c>
      <c r="M160" s="7" t="e">
        <f t="shared" si="52"/>
        <v>#VALUE!</v>
      </c>
      <c r="N160" s="7" t="e">
        <f t="shared" si="52"/>
        <v>#VALUE!</v>
      </c>
      <c r="O160" s="7" t="e">
        <f t="shared" si="52"/>
        <v>#VALUE!</v>
      </c>
    </row>
    <row r="161" spans="1:15" x14ac:dyDescent="0.3">
      <c r="B161" t="str">
        <f t="shared" si="51"/>
        <v/>
      </c>
      <c r="C161" s="7" t="e">
        <f t="shared" si="52"/>
        <v>#VALUE!</v>
      </c>
      <c r="D161" s="7" t="e">
        <f t="shared" si="52"/>
        <v>#VALUE!</v>
      </c>
      <c r="E161" s="7" t="e">
        <f t="shared" si="52"/>
        <v>#VALUE!</v>
      </c>
      <c r="F161" s="7" t="e">
        <f t="shared" si="52"/>
        <v>#VALUE!</v>
      </c>
      <c r="G161" s="7" t="e">
        <f t="shared" si="52"/>
        <v>#VALUE!</v>
      </c>
      <c r="H161" s="7" t="e">
        <f t="shared" si="52"/>
        <v>#VALUE!</v>
      </c>
      <c r="I161" s="7" t="e">
        <f t="shared" si="52"/>
        <v>#VALUE!</v>
      </c>
      <c r="J161" s="7" t="e">
        <f t="shared" si="52"/>
        <v>#VALUE!</v>
      </c>
      <c r="K161" s="7" t="e">
        <f t="shared" si="52"/>
        <v>#VALUE!</v>
      </c>
      <c r="L161" s="7" t="e">
        <f t="shared" si="52"/>
        <v>#VALUE!</v>
      </c>
      <c r="M161" s="7" t="e">
        <f t="shared" si="52"/>
        <v>#VALUE!</v>
      </c>
      <c r="N161" s="7" t="e">
        <f t="shared" si="52"/>
        <v>#VALUE!</v>
      </c>
      <c r="O161" s="7" t="e">
        <f t="shared" si="52"/>
        <v>#VALUE!</v>
      </c>
    </row>
    <row r="162" spans="1:15" x14ac:dyDescent="0.3">
      <c r="B162" t="str">
        <f t="shared" si="51"/>
        <v/>
      </c>
      <c r="C162" s="7" t="e">
        <f t="shared" si="52"/>
        <v>#VALUE!</v>
      </c>
      <c r="D162" s="7" t="e">
        <f t="shared" si="52"/>
        <v>#VALUE!</v>
      </c>
      <c r="E162" s="7" t="e">
        <f t="shared" si="52"/>
        <v>#VALUE!</v>
      </c>
      <c r="F162" s="7" t="e">
        <f t="shared" si="52"/>
        <v>#VALUE!</v>
      </c>
      <c r="G162" s="7" t="e">
        <f t="shared" si="52"/>
        <v>#VALUE!</v>
      </c>
      <c r="H162" s="7" t="e">
        <f t="shared" si="52"/>
        <v>#VALUE!</v>
      </c>
      <c r="I162" s="7" t="e">
        <f t="shared" si="52"/>
        <v>#VALUE!</v>
      </c>
      <c r="J162" s="7" t="e">
        <f t="shared" si="52"/>
        <v>#VALUE!</v>
      </c>
      <c r="K162" s="7" t="e">
        <f t="shared" si="52"/>
        <v>#VALUE!</v>
      </c>
      <c r="L162" s="7" t="e">
        <f t="shared" si="52"/>
        <v>#VALUE!</v>
      </c>
      <c r="M162" s="7" t="e">
        <f t="shared" si="52"/>
        <v>#VALUE!</v>
      </c>
      <c r="N162" s="7" t="e">
        <f t="shared" si="52"/>
        <v>#VALUE!</v>
      </c>
      <c r="O162" s="7" t="e">
        <f t="shared" si="52"/>
        <v>#VALUE!</v>
      </c>
    </row>
    <row r="163" spans="1:15" x14ac:dyDescent="0.3">
      <c r="B163" t="str">
        <f t="shared" si="51"/>
        <v/>
      </c>
      <c r="C163" s="7" t="e">
        <f t="shared" si="52"/>
        <v>#VALUE!</v>
      </c>
      <c r="D163" s="7" t="e">
        <f t="shared" si="52"/>
        <v>#VALUE!</v>
      </c>
      <c r="E163" s="7" t="e">
        <f t="shared" si="52"/>
        <v>#VALUE!</v>
      </c>
      <c r="F163" s="7" t="e">
        <f t="shared" si="52"/>
        <v>#VALUE!</v>
      </c>
      <c r="G163" s="7" t="e">
        <f t="shared" si="52"/>
        <v>#VALUE!</v>
      </c>
      <c r="H163" s="7" t="e">
        <f t="shared" si="52"/>
        <v>#VALUE!</v>
      </c>
      <c r="I163" s="7" t="e">
        <f t="shared" si="52"/>
        <v>#VALUE!</v>
      </c>
      <c r="J163" s="7" t="e">
        <f t="shared" si="52"/>
        <v>#VALUE!</v>
      </c>
      <c r="K163" s="7" t="e">
        <f t="shared" si="52"/>
        <v>#VALUE!</v>
      </c>
      <c r="L163" s="7" t="e">
        <f t="shared" si="52"/>
        <v>#VALUE!</v>
      </c>
      <c r="M163" s="7" t="e">
        <f t="shared" si="52"/>
        <v>#VALUE!</v>
      </c>
      <c r="N163" s="7" t="e">
        <f t="shared" si="52"/>
        <v>#VALUE!</v>
      </c>
      <c r="O163" s="7" t="e">
        <f>VLOOKUP($B163,$B$57:$C$66,2,FALSE)*O$37</f>
        <v>#VALUE!</v>
      </c>
    </row>
    <row r="164" spans="1:15" x14ac:dyDescent="0.3">
      <c r="B164" t="str">
        <f t="shared" si="51"/>
        <v/>
      </c>
      <c r="C164" s="7" t="e">
        <f t="shared" si="52"/>
        <v>#VALUE!</v>
      </c>
      <c r="D164" s="7" t="e">
        <f t="shared" si="52"/>
        <v>#VALUE!</v>
      </c>
      <c r="E164" s="7" t="e">
        <f t="shared" si="52"/>
        <v>#VALUE!</v>
      </c>
      <c r="F164" s="7" t="e">
        <f t="shared" si="52"/>
        <v>#VALUE!</v>
      </c>
      <c r="G164" s="7" t="e">
        <f t="shared" si="52"/>
        <v>#VALUE!</v>
      </c>
      <c r="H164" s="7" t="e">
        <f t="shared" si="52"/>
        <v>#VALUE!</v>
      </c>
      <c r="I164" s="7" t="e">
        <f t="shared" si="52"/>
        <v>#VALUE!</v>
      </c>
      <c r="J164" s="7" t="e">
        <f t="shared" si="52"/>
        <v>#VALUE!</v>
      </c>
      <c r="K164" s="7" t="e">
        <f t="shared" si="52"/>
        <v>#VALUE!</v>
      </c>
      <c r="L164" s="7" t="e">
        <f t="shared" si="52"/>
        <v>#VALUE!</v>
      </c>
      <c r="M164" s="7" t="e">
        <f t="shared" si="52"/>
        <v>#VALUE!</v>
      </c>
      <c r="N164" s="7" t="e">
        <f t="shared" si="52"/>
        <v>#VALUE!</v>
      </c>
      <c r="O164" s="7" t="e">
        <f t="shared" si="52"/>
        <v>#VALUE!</v>
      </c>
    </row>
    <row r="165" spans="1:15" s="13" customFormat="1" x14ac:dyDescent="0.3"/>
    <row r="166" spans="1:15" s="15" customFormat="1" x14ac:dyDescent="0.3">
      <c r="A166" s="18" t="s">
        <v>58</v>
      </c>
    </row>
    <row r="167" spans="1:15" ht="16.2" x14ac:dyDescent="0.3">
      <c r="B167" s="1" t="s">
        <v>59</v>
      </c>
    </row>
    <row r="168" spans="1:15" x14ac:dyDescent="0.3">
      <c r="B168" s="1" t="s">
        <v>40</v>
      </c>
      <c r="C168" s="1" t="str">
        <f>IF(ISBLANK(C3),"",C3)</f>
        <v/>
      </c>
      <c r="D168" s="1" t="str">
        <f t="shared" ref="D168:O168" si="53">IF(ISBLANK(D3),"",D3)</f>
        <v/>
      </c>
      <c r="E168" s="1" t="str">
        <f t="shared" si="53"/>
        <v/>
      </c>
      <c r="F168" s="1" t="str">
        <f t="shared" si="53"/>
        <v/>
      </c>
      <c r="G168" s="1" t="str">
        <f t="shared" si="53"/>
        <v/>
      </c>
      <c r="H168" s="1" t="str">
        <f t="shared" si="53"/>
        <v/>
      </c>
      <c r="I168" s="1" t="str">
        <f t="shared" si="53"/>
        <v/>
      </c>
      <c r="J168" s="1" t="str">
        <f t="shared" si="53"/>
        <v/>
      </c>
      <c r="K168" s="1" t="str">
        <f t="shared" si="53"/>
        <v/>
      </c>
      <c r="L168" s="1" t="str">
        <f t="shared" si="53"/>
        <v/>
      </c>
      <c r="M168" s="1" t="str">
        <f t="shared" si="53"/>
        <v/>
      </c>
      <c r="N168" s="1" t="str">
        <f t="shared" si="53"/>
        <v/>
      </c>
      <c r="O168" s="1" t="str">
        <f t="shared" si="53"/>
        <v/>
      </c>
    </row>
    <row r="169" spans="1:15" x14ac:dyDescent="0.3">
      <c r="B169" t="str">
        <f>IF(ISBLANK(B43),"",B43)</f>
        <v/>
      </c>
      <c r="C169" s="7" t="e">
        <f>C155*C141*C$4/3.6</f>
        <v>#VALUE!</v>
      </c>
      <c r="D169" s="7" t="e">
        <f t="shared" ref="D169:O169" si="54">D155*D141*D$4/3.6</f>
        <v>#VALUE!</v>
      </c>
      <c r="E169" s="7" t="e">
        <f t="shared" si="54"/>
        <v>#VALUE!</v>
      </c>
      <c r="F169" s="7" t="e">
        <f t="shared" si="54"/>
        <v>#VALUE!</v>
      </c>
      <c r="G169" s="7" t="e">
        <f t="shared" si="54"/>
        <v>#VALUE!</v>
      </c>
      <c r="H169" s="7" t="e">
        <f t="shared" si="54"/>
        <v>#VALUE!</v>
      </c>
      <c r="I169" s="7" t="e">
        <f t="shared" si="54"/>
        <v>#VALUE!</v>
      </c>
      <c r="J169" s="7" t="e">
        <f t="shared" si="54"/>
        <v>#VALUE!</v>
      </c>
      <c r="K169" s="7" t="e">
        <f t="shared" si="54"/>
        <v>#VALUE!</v>
      </c>
      <c r="L169" s="7" t="e">
        <f t="shared" si="54"/>
        <v>#VALUE!</v>
      </c>
      <c r="M169" s="7" t="e">
        <f t="shared" si="54"/>
        <v>#VALUE!</v>
      </c>
      <c r="N169" s="7" t="e">
        <f t="shared" si="54"/>
        <v>#VALUE!</v>
      </c>
      <c r="O169" s="7" t="e">
        <f t="shared" si="54"/>
        <v>#VALUE!</v>
      </c>
    </row>
    <row r="170" spans="1:15" x14ac:dyDescent="0.3">
      <c r="B170" t="str">
        <f t="shared" ref="B170:B178" si="55">IF(ISBLANK(B44),"",B44)</f>
        <v/>
      </c>
      <c r="C170" s="7" t="e">
        <f t="shared" ref="C170:O178" si="56">C156*C142*C$4/3.6</f>
        <v>#VALUE!</v>
      </c>
      <c r="D170" s="7" t="e">
        <f t="shared" si="56"/>
        <v>#VALUE!</v>
      </c>
      <c r="E170" s="7" t="e">
        <f>E156*E142*E$4/3.6</f>
        <v>#VALUE!</v>
      </c>
      <c r="F170" s="7" t="e">
        <f t="shared" si="56"/>
        <v>#VALUE!</v>
      </c>
      <c r="G170" s="7" t="e">
        <f t="shared" si="56"/>
        <v>#VALUE!</v>
      </c>
      <c r="H170" s="7" t="e">
        <f t="shared" si="56"/>
        <v>#VALUE!</v>
      </c>
      <c r="I170" s="7" t="e">
        <f t="shared" si="56"/>
        <v>#VALUE!</v>
      </c>
      <c r="J170" s="7" t="e">
        <f t="shared" si="56"/>
        <v>#VALUE!</v>
      </c>
      <c r="K170" s="7" t="e">
        <f t="shared" si="56"/>
        <v>#VALUE!</v>
      </c>
      <c r="L170" s="7" t="e">
        <f t="shared" si="56"/>
        <v>#VALUE!</v>
      </c>
      <c r="M170" s="7" t="e">
        <f t="shared" si="56"/>
        <v>#VALUE!</v>
      </c>
      <c r="N170" s="7" t="e">
        <f t="shared" si="56"/>
        <v>#VALUE!</v>
      </c>
      <c r="O170" s="7" t="e">
        <f t="shared" si="56"/>
        <v>#VALUE!</v>
      </c>
    </row>
    <row r="171" spans="1:15" x14ac:dyDescent="0.3">
      <c r="B171" t="str">
        <f t="shared" si="55"/>
        <v/>
      </c>
      <c r="C171" s="7" t="e">
        <f t="shared" si="56"/>
        <v>#VALUE!</v>
      </c>
      <c r="D171" s="7" t="e">
        <f t="shared" si="56"/>
        <v>#VALUE!</v>
      </c>
      <c r="E171" s="7" t="e">
        <f t="shared" si="56"/>
        <v>#VALUE!</v>
      </c>
      <c r="F171" s="7" t="e">
        <f t="shared" si="56"/>
        <v>#VALUE!</v>
      </c>
      <c r="G171" s="7" t="e">
        <f t="shared" si="56"/>
        <v>#VALUE!</v>
      </c>
      <c r="H171" s="7" t="e">
        <f t="shared" si="56"/>
        <v>#VALUE!</v>
      </c>
      <c r="I171" s="7" t="e">
        <f t="shared" si="56"/>
        <v>#VALUE!</v>
      </c>
      <c r="J171" s="7" t="e">
        <f t="shared" si="56"/>
        <v>#VALUE!</v>
      </c>
      <c r="K171" s="7" t="e">
        <f t="shared" si="56"/>
        <v>#VALUE!</v>
      </c>
      <c r="L171" s="7" t="e">
        <f t="shared" si="56"/>
        <v>#VALUE!</v>
      </c>
      <c r="M171" s="7" t="e">
        <f t="shared" si="56"/>
        <v>#VALUE!</v>
      </c>
      <c r="N171" s="7" t="e">
        <f t="shared" si="56"/>
        <v>#VALUE!</v>
      </c>
      <c r="O171" s="7" t="e">
        <f t="shared" si="56"/>
        <v>#VALUE!</v>
      </c>
    </row>
    <row r="172" spans="1:15" x14ac:dyDescent="0.3">
      <c r="B172" t="str">
        <f t="shared" si="55"/>
        <v/>
      </c>
      <c r="C172" s="7" t="e">
        <f t="shared" si="56"/>
        <v>#VALUE!</v>
      </c>
      <c r="D172" s="7" t="e">
        <f t="shared" si="56"/>
        <v>#VALUE!</v>
      </c>
      <c r="E172" s="7" t="e">
        <f t="shared" si="56"/>
        <v>#VALUE!</v>
      </c>
      <c r="F172" s="7" t="e">
        <f t="shared" si="56"/>
        <v>#VALUE!</v>
      </c>
      <c r="G172" s="7" t="e">
        <f t="shared" si="56"/>
        <v>#VALUE!</v>
      </c>
      <c r="H172" s="7" t="e">
        <f t="shared" si="56"/>
        <v>#VALUE!</v>
      </c>
      <c r="I172" s="7" t="e">
        <f t="shared" si="56"/>
        <v>#VALUE!</v>
      </c>
      <c r="J172" s="7" t="e">
        <f t="shared" si="56"/>
        <v>#VALUE!</v>
      </c>
      <c r="K172" s="7" t="e">
        <f t="shared" si="56"/>
        <v>#VALUE!</v>
      </c>
      <c r="L172" s="7" t="e">
        <f t="shared" si="56"/>
        <v>#VALUE!</v>
      </c>
      <c r="M172" s="7" t="e">
        <f t="shared" si="56"/>
        <v>#VALUE!</v>
      </c>
      <c r="N172" s="7" t="e">
        <f t="shared" si="56"/>
        <v>#VALUE!</v>
      </c>
      <c r="O172" s="7" t="e">
        <f t="shared" si="56"/>
        <v>#VALUE!</v>
      </c>
    </row>
    <row r="173" spans="1:15" x14ac:dyDescent="0.3">
      <c r="B173" t="str">
        <f t="shared" si="55"/>
        <v/>
      </c>
      <c r="C173" s="7" t="e">
        <f t="shared" si="56"/>
        <v>#VALUE!</v>
      </c>
      <c r="D173" s="7" t="e">
        <f t="shared" si="56"/>
        <v>#VALUE!</v>
      </c>
      <c r="E173" s="7" t="e">
        <f t="shared" si="56"/>
        <v>#VALUE!</v>
      </c>
      <c r="F173" s="7" t="e">
        <f t="shared" si="56"/>
        <v>#VALUE!</v>
      </c>
      <c r="G173" s="7" t="e">
        <f t="shared" si="56"/>
        <v>#VALUE!</v>
      </c>
      <c r="H173" s="7" t="e">
        <f t="shared" si="56"/>
        <v>#VALUE!</v>
      </c>
      <c r="I173" s="7" t="e">
        <f t="shared" si="56"/>
        <v>#VALUE!</v>
      </c>
      <c r="J173" s="7" t="e">
        <f t="shared" si="56"/>
        <v>#VALUE!</v>
      </c>
      <c r="K173" s="7" t="e">
        <f t="shared" si="56"/>
        <v>#VALUE!</v>
      </c>
      <c r="L173" s="7" t="e">
        <f t="shared" si="56"/>
        <v>#VALUE!</v>
      </c>
      <c r="M173" s="7" t="e">
        <f t="shared" si="56"/>
        <v>#VALUE!</v>
      </c>
      <c r="N173" s="7" t="e">
        <f t="shared" si="56"/>
        <v>#VALUE!</v>
      </c>
      <c r="O173" s="7" t="e">
        <f t="shared" si="56"/>
        <v>#VALUE!</v>
      </c>
    </row>
    <row r="174" spans="1:15" x14ac:dyDescent="0.3">
      <c r="B174" t="str">
        <f t="shared" si="55"/>
        <v/>
      </c>
      <c r="C174" s="7" t="e">
        <f t="shared" si="56"/>
        <v>#VALUE!</v>
      </c>
      <c r="D174" s="7" t="e">
        <f t="shared" si="56"/>
        <v>#VALUE!</v>
      </c>
      <c r="E174" s="7" t="e">
        <f t="shared" si="56"/>
        <v>#VALUE!</v>
      </c>
      <c r="F174" s="7" t="e">
        <f t="shared" si="56"/>
        <v>#VALUE!</v>
      </c>
      <c r="G174" s="7" t="e">
        <f t="shared" si="56"/>
        <v>#VALUE!</v>
      </c>
      <c r="H174" s="7" t="e">
        <f t="shared" si="56"/>
        <v>#VALUE!</v>
      </c>
      <c r="I174" s="7" t="e">
        <f t="shared" si="56"/>
        <v>#VALUE!</v>
      </c>
      <c r="J174" s="7" t="e">
        <f t="shared" si="56"/>
        <v>#VALUE!</v>
      </c>
      <c r="K174" s="7" t="e">
        <f t="shared" si="56"/>
        <v>#VALUE!</v>
      </c>
      <c r="L174" s="7" t="e">
        <f t="shared" si="56"/>
        <v>#VALUE!</v>
      </c>
      <c r="M174" s="7" t="e">
        <f t="shared" si="56"/>
        <v>#VALUE!</v>
      </c>
      <c r="N174" s="7" t="e">
        <f t="shared" si="56"/>
        <v>#VALUE!</v>
      </c>
      <c r="O174" s="7" t="e">
        <f t="shared" si="56"/>
        <v>#VALUE!</v>
      </c>
    </row>
    <row r="175" spans="1:15" x14ac:dyDescent="0.3">
      <c r="B175" t="str">
        <f t="shared" si="55"/>
        <v/>
      </c>
      <c r="C175" s="7" t="e">
        <f t="shared" si="56"/>
        <v>#VALUE!</v>
      </c>
      <c r="D175" s="7" t="e">
        <f t="shared" si="56"/>
        <v>#VALUE!</v>
      </c>
      <c r="E175" s="7" t="e">
        <f t="shared" si="56"/>
        <v>#VALUE!</v>
      </c>
      <c r="F175" s="7" t="e">
        <f t="shared" si="56"/>
        <v>#VALUE!</v>
      </c>
      <c r="G175" s="7" t="e">
        <f t="shared" si="56"/>
        <v>#VALUE!</v>
      </c>
      <c r="H175" s="7" t="e">
        <f t="shared" si="56"/>
        <v>#VALUE!</v>
      </c>
      <c r="I175" s="7" t="e">
        <f t="shared" si="56"/>
        <v>#VALUE!</v>
      </c>
      <c r="J175" s="7" t="e">
        <f t="shared" si="56"/>
        <v>#VALUE!</v>
      </c>
      <c r="K175" s="7" t="e">
        <f t="shared" si="56"/>
        <v>#VALUE!</v>
      </c>
      <c r="L175" s="7" t="e">
        <f t="shared" si="56"/>
        <v>#VALUE!</v>
      </c>
      <c r="M175" s="7" t="e">
        <f t="shared" si="56"/>
        <v>#VALUE!</v>
      </c>
      <c r="N175" s="7" t="e">
        <f t="shared" si="56"/>
        <v>#VALUE!</v>
      </c>
      <c r="O175" s="7" t="e">
        <f t="shared" si="56"/>
        <v>#VALUE!</v>
      </c>
    </row>
    <row r="176" spans="1:15" x14ac:dyDescent="0.3">
      <c r="B176" t="str">
        <f t="shared" si="55"/>
        <v/>
      </c>
      <c r="C176" s="7" t="e">
        <f t="shared" si="56"/>
        <v>#VALUE!</v>
      </c>
      <c r="D176" s="7" t="e">
        <f t="shared" si="56"/>
        <v>#VALUE!</v>
      </c>
      <c r="E176" s="7" t="e">
        <f t="shared" si="56"/>
        <v>#VALUE!</v>
      </c>
      <c r="F176" s="7" t="e">
        <f t="shared" si="56"/>
        <v>#VALUE!</v>
      </c>
      <c r="G176" s="7" t="e">
        <f t="shared" si="56"/>
        <v>#VALUE!</v>
      </c>
      <c r="H176" s="7" t="e">
        <f t="shared" si="56"/>
        <v>#VALUE!</v>
      </c>
      <c r="I176" s="7" t="e">
        <f t="shared" si="56"/>
        <v>#VALUE!</v>
      </c>
      <c r="J176" s="7" t="e">
        <f t="shared" si="56"/>
        <v>#VALUE!</v>
      </c>
      <c r="K176" s="7" t="e">
        <f t="shared" si="56"/>
        <v>#VALUE!</v>
      </c>
      <c r="L176" s="7" t="e">
        <f t="shared" si="56"/>
        <v>#VALUE!</v>
      </c>
      <c r="M176" s="7" t="e">
        <f t="shared" si="56"/>
        <v>#VALUE!</v>
      </c>
      <c r="N176" s="7" t="e">
        <f t="shared" si="56"/>
        <v>#VALUE!</v>
      </c>
      <c r="O176" s="7" t="e">
        <f t="shared" si="56"/>
        <v>#VALUE!</v>
      </c>
    </row>
    <row r="177" spans="1:15" x14ac:dyDescent="0.3">
      <c r="B177" t="str">
        <f t="shared" si="55"/>
        <v/>
      </c>
      <c r="C177" s="7" t="e">
        <f t="shared" si="56"/>
        <v>#VALUE!</v>
      </c>
      <c r="D177" s="7" t="e">
        <f t="shared" si="56"/>
        <v>#VALUE!</v>
      </c>
      <c r="E177" s="7" t="e">
        <f t="shared" si="56"/>
        <v>#VALUE!</v>
      </c>
      <c r="F177" s="7" t="e">
        <f t="shared" si="56"/>
        <v>#VALUE!</v>
      </c>
      <c r="G177" s="7" t="e">
        <f t="shared" si="56"/>
        <v>#VALUE!</v>
      </c>
      <c r="H177" s="7" t="e">
        <f t="shared" si="56"/>
        <v>#VALUE!</v>
      </c>
      <c r="I177" s="7" t="e">
        <f t="shared" si="56"/>
        <v>#VALUE!</v>
      </c>
      <c r="J177" s="7" t="e">
        <f t="shared" si="56"/>
        <v>#VALUE!</v>
      </c>
      <c r="K177" s="7" t="e">
        <f t="shared" si="56"/>
        <v>#VALUE!</v>
      </c>
      <c r="L177" s="7" t="e">
        <f t="shared" si="56"/>
        <v>#VALUE!</v>
      </c>
      <c r="M177" s="7" t="e">
        <f t="shared" si="56"/>
        <v>#VALUE!</v>
      </c>
      <c r="N177" s="7" t="e">
        <f t="shared" si="56"/>
        <v>#VALUE!</v>
      </c>
      <c r="O177" s="7" t="e">
        <f t="shared" si="56"/>
        <v>#VALUE!</v>
      </c>
    </row>
    <row r="178" spans="1:15" x14ac:dyDescent="0.3">
      <c r="B178" t="str">
        <f t="shared" si="55"/>
        <v/>
      </c>
      <c r="C178" s="7" t="e">
        <f t="shared" si="56"/>
        <v>#VALUE!</v>
      </c>
      <c r="D178" s="7" t="e">
        <f t="shared" si="56"/>
        <v>#VALUE!</v>
      </c>
      <c r="E178" s="7" t="e">
        <f t="shared" si="56"/>
        <v>#VALUE!</v>
      </c>
      <c r="F178" s="7" t="e">
        <f t="shared" si="56"/>
        <v>#VALUE!</v>
      </c>
      <c r="G178" s="7" t="e">
        <f t="shared" si="56"/>
        <v>#VALUE!</v>
      </c>
      <c r="H178" s="7" t="e">
        <f t="shared" si="56"/>
        <v>#VALUE!</v>
      </c>
      <c r="I178" s="7" t="e">
        <f t="shared" si="56"/>
        <v>#VALUE!</v>
      </c>
      <c r="J178" s="7" t="e">
        <f t="shared" si="56"/>
        <v>#VALUE!</v>
      </c>
      <c r="K178" s="7" t="e">
        <f t="shared" si="56"/>
        <v>#VALUE!</v>
      </c>
      <c r="L178" s="7" t="e">
        <f t="shared" si="56"/>
        <v>#VALUE!</v>
      </c>
      <c r="M178" s="7" t="e">
        <f t="shared" si="56"/>
        <v>#VALUE!</v>
      </c>
      <c r="N178" s="7" t="e">
        <f t="shared" si="56"/>
        <v>#VALUE!</v>
      </c>
      <c r="O178" s="7" t="e">
        <f t="shared" si="56"/>
        <v>#VALUE!</v>
      </c>
    </row>
    <row r="179" spans="1:15" s="13" customFormat="1" x14ac:dyDescent="0.3"/>
    <row r="180" spans="1:15" s="15" customFormat="1" ht="16.2" x14ac:dyDescent="0.3">
      <c r="A180" s="16" t="s">
        <v>60</v>
      </c>
    </row>
    <row r="181" spans="1:15" ht="16.2" x14ac:dyDescent="0.3">
      <c r="B181" s="1" t="s">
        <v>61</v>
      </c>
    </row>
    <row r="182" spans="1:15" x14ac:dyDescent="0.3">
      <c r="B182" s="1" t="s">
        <v>40</v>
      </c>
      <c r="C182" s="1" t="str">
        <f>IF(ISBLANK(C3),"",C3)</f>
        <v/>
      </c>
      <c r="D182" s="1" t="str">
        <f t="shared" ref="D182:O182" si="57">IF(ISBLANK(D3),"",D3)</f>
        <v/>
      </c>
      <c r="E182" s="1" t="str">
        <f t="shared" si="57"/>
        <v/>
      </c>
      <c r="F182" s="1" t="str">
        <f t="shared" si="57"/>
        <v/>
      </c>
      <c r="G182" s="1" t="str">
        <f t="shared" si="57"/>
        <v/>
      </c>
      <c r="H182" s="1" t="str">
        <f t="shared" si="57"/>
        <v/>
      </c>
      <c r="I182" s="1" t="str">
        <f t="shared" si="57"/>
        <v/>
      </c>
      <c r="J182" s="1" t="str">
        <f t="shared" si="57"/>
        <v/>
      </c>
      <c r="K182" s="1" t="str">
        <f t="shared" si="57"/>
        <v/>
      </c>
      <c r="L182" s="1" t="str">
        <f t="shared" si="57"/>
        <v/>
      </c>
      <c r="M182" s="1" t="str">
        <f t="shared" si="57"/>
        <v/>
      </c>
      <c r="N182" s="1" t="str">
        <f t="shared" si="57"/>
        <v/>
      </c>
      <c r="O182" s="1" t="str">
        <f t="shared" si="57"/>
        <v/>
      </c>
    </row>
    <row r="183" spans="1:15" x14ac:dyDescent="0.3">
      <c r="B183" t="str">
        <f>IF(ISBLANK(B43),"",B43)</f>
        <v/>
      </c>
      <c r="C183" s="7" t="e">
        <f>C169/C$4</f>
        <v>#VALUE!</v>
      </c>
      <c r="D183" s="7" t="e">
        <f t="shared" ref="D183:O183" si="58">D169/D$4</f>
        <v>#VALUE!</v>
      </c>
      <c r="E183" s="7" t="e">
        <f t="shared" si="58"/>
        <v>#VALUE!</v>
      </c>
      <c r="F183" s="7" t="e">
        <f t="shared" si="58"/>
        <v>#VALUE!</v>
      </c>
      <c r="G183" s="7" t="e">
        <f t="shared" si="58"/>
        <v>#VALUE!</v>
      </c>
      <c r="H183" s="7" t="e">
        <f t="shared" si="58"/>
        <v>#VALUE!</v>
      </c>
      <c r="I183" s="7" t="e">
        <f t="shared" si="58"/>
        <v>#VALUE!</v>
      </c>
      <c r="J183" s="7" t="e">
        <f t="shared" si="58"/>
        <v>#VALUE!</v>
      </c>
      <c r="K183" s="7" t="e">
        <f t="shared" si="58"/>
        <v>#VALUE!</v>
      </c>
      <c r="L183" s="7" t="e">
        <f t="shared" si="58"/>
        <v>#VALUE!</v>
      </c>
      <c r="M183" s="7" t="e">
        <f t="shared" si="58"/>
        <v>#VALUE!</v>
      </c>
      <c r="N183" s="7" t="e">
        <f t="shared" si="58"/>
        <v>#VALUE!</v>
      </c>
      <c r="O183" s="7" t="e">
        <f t="shared" si="58"/>
        <v>#VALUE!</v>
      </c>
    </row>
    <row r="184" spans="1:15" x14ac:dyDescent="0.3">
      <c r="B184" t="str">
        <f t="shared" ref="B184:B192" si="59">IF(ISBLANK(B44),"",B44)</f>
        <v/>
      </c>
      <c r="C184" s="7" t="e">
        <f t="shared" ref="C184:O192" si="60">C170/C$4</f>
        <v>#VALUE!</v>
      </c>
      <c r="D184" s="7" t="e">
        <f t="shared" si="60"/>
        <v>#VALUE!</v>
      </c>
      <c r="E184" s="7" t="e">
        <f t="shared" si="60"/>
        <v>#VALUE!</v>
      </c>
      <c r="F184" s="7" t="e">
        <f t="shared" si="60"/>
        <v>#VALUE!</v>
      </c>
      <c r="G184" s="7" t="e">
        <f t="shared" si="60"/>
        <v>#VALUE!</v>
      </c>
      <c r="H184" s="7" t="e">
        <f t="shared" si="60"/>
        <v>#VALUE!</v>
      </c>
      <c r="I184" s="7" t="e">
        <f t="shared" si="60"/>
        <v>#VALUE!</v>
      </c>
      <c r="J184" s="7" t="e">
        <f t="shared" si="60"/>
        <v>#VALUE!</v>
      </c>
      <c r="K184" s="7" t="e">
        <f t="shared" si="60"/>
        <v>#VALUE!</v>
      </c>
      <c r="L184" s="7" t="e">
        <f t="shared" si="60"/>
        <v>#VALUE!</v>
      </c>
      <c r="M184" s="7" t="e">
        <f t="shared" si="60"/>
        <v>#VALUE!</v>
      </c>
      <c r="N184" s="7" t="e">
        <f t="shared" si="60"/>
        <v>#VALUE!</v>
      </c>
      <c r="O184" s="7" t="e">
        <f t="shared" si="60"/>
        <v>#VALUE!</v>
      </c>
    </row>
    <row r="185" spans="1:15" x14ac:dyDescent="0.3">
      <c r="B185" t="str">
        <f t="shared" si="59"/>
        <v/>
      </c>
      <c r="C185" s="7" t="e">
        <f t="shared" si="60"/>
        <v>#VALUE!</v>
      </c>
      <c r="D185" s="7" t="e">
        <f t="shared" si="60"/>
        <v>#VALUE!</v>
      </c>
      <c r="E185" s="7" t="e">
        <f t="shared" si="60"/>
        <v>#VALUE!</v>
      </c>
      <c r="F185" s="7" t="e">
        <f t="shared" si="60"/>
        <v>#VALUE!</v>
      </c>
      <c r="G185" s="7" t="e">
        <f t="shared" si="60"/>
        <v>#VALUE!</v>
      </c>
      <c r="H185" s="7" t="e">
        <f t="shared" si="60"/>
        <v>#VALUE!</v>
      </c>
      <c r="I185" s="7" t="e">
        <f t="shared" si="60"/>
        <v>#VALUE!</v>
      </c>
      <c r="J185" s="7" t="e">
        <f t="shared" si="60"/>
        <v>#VALUE!</v>
      </c>
      <c r="K185" s="7" t="e">
        <f t="shared" si="60"/>
        <v>#VALUE!</v>
      </c>
      <c r="L185" s="7" t="e">
        <f t="shared" si="60"/>
        <v>#VALUE!</v>
      </c>
      <c r="M185" s="7" t="e">
        <f t="shared" si="60"/>
        <v>#VALUE!</v>
      </c>
      <c r="N185" s="7" t="e">
        <f t="shared" si="60"/>
        <v>#VALUE!</v>
      </c>
      <c r="O185" s="7" t="e">
        <f t="shared" si="60"/>
        <v>#VALUE!</v>
      </c>
    </row>
    <row r="186" spans="1:15" x14ac:dyDescent="0.3">
      <c r="B186" t="str">
        <f t="shared" si="59"/>
        <v/>
      </c>
      <c r="C186" s="7" t="e">
        <f t="shared" si="60"/>
        <v>#VALUE!</v>
      </c>
      <c r="D186" s="7" t="e">
        <f t="shared" si="60"/>
        <v>#VALUE!</v>
      </c>
      <c r="E186" s="7" t="e">
        <f t="shared" si="60"/>
        <v>#VALUE!</v>
      </c>
      <c r="F186" s="7" t="e">
        <f t="shared" si="60"/>
        <v>#VALUE!</v>
      </c>
      <c r="G186" s="7" t="e">
        <f t="shared" si="60"/>
        <v>#VALUE!</v>
      </c>
      <c r="H186" s="7" t="e">
        <f t="shared" si="60"/>
        <v>#VALUE!</v>
      </c>
      <c r="I186" s="7" t="e">
        <f t="shared" si="60"/>
        <v>#VALUE!</v>
      </c>
      <c r="J186" s="7" t="e">
        <f t="shared" si="60"/>
        <v>#VALUE!</v>
      </c>
      <c r="K186" s="7" t="e">
        <f t="shared" si="60"/>
        <v>#VALUE!</v>
      </c>
      <c r="L186" s="7" t="e">
        <f t="shared" si="60"/>
        <v>#VALUE!</v>
      </c>
      <c r="M186" s="7" t="e">
        <f t="shared" si="60"/>
        <v>#VALUE!</v>
      </c>
      <c r="N186" s="7" t="e">
        <f t="shared" si="60"/>
        <v>#VALUE!</v>
      </c>
      <c r="O186" s="7" t="e">
        <f t="shared" si="60"/>
        <v>#VALUE!</v>
      </c>
    </row>
    <row r="187" spans="1:15" x14ac:dyDescent="0.3">
      <c r="B187" t="str">
        <f t="shared" si="59"/>
        <v/>
      </c>
      <c r="C187" s="7" t="e">
        <f t="shared" si="60"/>
        <v>#VALUE!</v>
      </c>
      <c r="D187" s="7" t="e">
        <f t="shared" si="60"/>
        <v>#VALUE!</v>
      </c>
      <c r="E187" s="7" t="e">
        <f t="shared" si="60"/>
        <v>#VALUE!</v>
      </c>
      <c r="F187" s="7" t="e">
        <f t="shared" si="60"/>
        <v>#VALUE!</v>
      </c>
      <c r="G187" s="7" t="e">
        <f t="shared" si="60"/>
        <v>#VALUE!</v>
      </c>
      <c r="H187" s="7" t="e">
        <f>H173/H$4</f>
        <v>#VALUE!</v>
      </c>
      <c r="I187" s="7" t="e">
        <f t="shared" si="60"/>
        <v>#VALUE!</v>
      </c>
      <c r="J187" s="7" t="e">
        <f t="shared" si="60"/>
        <v>#VALUE!</v>
      </c>
      <c r="K187" s="7" t="e">
        <f t="shared" si="60"/>
        <v>#VALUE!</v>
      </c>
      <c r="L187" s="7" t="e">
        <f t="shared" si="60"/>
        <v>#VALUE!</v>
      </c>
      <c r="M187" s="7" t="e">
        <f t="shared" si="60"/>
        <v>#VALUE!</v>
      </c>
      <c r="N187" s="7" t="e">
        <f t="shared" si="60"/>
        <v>#VALUE!</v>
      </c>
      <c r="O187" s="7" t="e">
        <f t="shared" si="60"/>
        <v>#VALUE!</v>
      </c>
    </row>
    <row r="188" spans="1:15" x14ac:dyDescent="0.3">
      <c r="B188" t="str">
        <f t="shared" si="59"/>
        <v/>
      </c>
      <c r="C188" s="7" t="e">
        <f>C174/C$4</f>
        <v>#VALUE!</v>
      </c>
      <c r="D188" s="7" t="e">
        <f t="shared" si="60"/>
        <v>#VALUE!</v>
      </c>
      <c r="E188" s="7" t="e">
        <f t="shared" si="60"/>
        <v>#VALUE!</v>
      </c>
      <c r="F188" s="7" t="e">
        <f t="shared" si="60"/>
        <v>#VALUE!</v>
      </c>
      <c r="G188" s="7" t="e">
        <f t="shared" si="60"/>
        <v>#VALUE!</v>
      </c>
      <c r="H188" s="7" t="e">
        <f t="shared" si="60"/>
        <v>#VALUE!</v>
      </c>
      <c r="I188" s="7" t="e">
        <f t="shared" si="60"/>
        <v>#VALUE!</v>
      </c>
      <c r="J188" s="7" t="e">
        <f t="shared" si="60"/>
        <v>#VALUE!</v>
      </c>
      <c r="K188" s="7" t="e">
        <f t="shared" si="60"/>
        <v>#VALUE!</v>
      </c>
      <c r="L188" s="7" t="e">
        <f t="shared" si="60"/>
        <v>#VALUE!</v>
      </c>
      <c r="M188" s="7" t="e">
        <f t="shared" si="60"/>
        <v>#VALUE!</v>
      </c>
      <c r="N188" s="7" t="e">
        <f t="shared" si="60"/>
        <v>#VALUE!</v>
      </c>
      <c r="O188" s="7" t="e">
        <f t="shared" si="60"/>
        <v>#VALUE!</v>
      </c>
    </row>
    <row r="189" spans="1:15" x14ac:dyDescent="0.3">
      <c r="B189" t="str">
        <f t="shared" si="59"/>
        <v/>
      </c>
      <c r="C189" s="7" t="e">
        <f t="shared" si="60"/>
        <v>#VALUE!</v>
      </c>
      <c r="D189" s="7" t="e">
        <f t="shared" si="60"/>
        <v>#VALUE!</v>
      </c>
      <c r="E189" s="7" t="e">
        <f t="shared" si="60"/>
        <v>#VALUE!</v>
      </c>
      <c r="F189" s="7" t="e">
        <f t="shared" si="60"/>
        <v>#VALUE!</v>
      </c>
      <c r="G189" s="7" t="e">
        <f t="shared" si="60"/>
        <v>#VALUE!</v>
      </c>
      <c r="H189" s="7" t="e">
        <f t="shared" si="60"/>
        <v>#VALUE!</v>
      </c>
      <c r="I189" s="7" t="e">
        <f t="shared" si="60"/>
        <v>#VALUE!</v>
      </c>
      <c r="J189" s="7" t="e">
        <f t="shared" si="60"/>
        <v>#VALUE!</v>
      </c>
      <c r="K189" s="7" t="e">
        <f t="shared" si="60"/>
        <v>#VALUE!</v>
      </c>
      <c r="L189" s="7" t="e">
        <f t="shared" si="60"/>
        <v>#VALUE!</v>
      </c>
      <c r="M189" s="7" t="e">
        <f t="shared" si="60"/>
        <v>#VALUE!</v>
      </c>
      <c r="N189" s="7" t="e">
        <f t="shared" si="60"/>
        <v>#VALUE!</v>
      </c>
      <c r="O189" s="7" t="e">
        <f t="shared" si="60"/>
        <v>#VALUE!</v>
      </c>
    </row>
    <row r="190" spans="1:15" x14ac:dyDescent="0.3">
      <c r="B190" t="str">
        <f t="shared" si="59"/>
        <v/>
      </c>
      <c r="C190" s="7" t="e">
        <f t="shared" si="60"/>
        <v>#VALUE!</v>
      </c>
      <c r="D190" s="7" t="e">
        <f t="shared" si="60"/>
        <v>#VALUE!</v>
      </c>
      <c r="E190" s="7" t="e">
        <f t="shared" si="60"/>
        <v>#VALUE!</v>
      </c>
      <c r="F190" s="7" t="e">
        <f t="shared" si="60"/>
        <v>#VALUE!</v>
      </c>
      <c r="G190" s="7" t="e">
        <f t="shared" si="60"/>
        <v>#VALUE!</v>
      </c>
      <c r="H190" s="7" t="e">
        <f t="shared" si="60"/>
        <v>#VALUE!</v>
      </c>
      <c r="I190" s="7" t="e">
        <f t="shared" si="60"/>
        <v>#VALUE!</v>
      </c>
      <c r="J190" s="7" t="e">
        <f t="shared" si="60"/>
        <v>#VALUE!</v>
      </c>
      <c r="K190" s="7" t="e">
        <f t="shared" si="60"/>
        <v>#VALUE!</v>
      </c>
      <c r="L190" s="7" t="e">
        <f t="shared" si="60"/>
        <v>#VALUE!</v>
      </c>
      <c r="M190" s="7" t="e">
        <f t="shared" si="60"/>
        <v>#VALUE!</v>
      </c>
      <c r="N190" s="7" t="e">
        <f t="shared" si="60"/>
        <v>#VALUE!</v>
      </c>
      <c r="O190" s="7" t="e">
        <f t="shared" si="60"/>
        <v>#VALUE!</v>
      </c>
    </row>
    <row r="191" spans="1:15" x14ac:dyDescent="0.3">
      <c r="B191" t="str">
        <f t="shared" si="59"/>
        <v/>
      </c>
      <c r="C191" s="7" t="e">
        <f t="shared" si="60"/>
        <v>#VALUE!</v>
      </c>
      <c r="D191" s="7" t="e">
        <f t="shared" si="60"/>
        <v>#VALUE!</v>
      </c>
      <c r="E191" s="7" t="e">
        <f t="shared" si="60"/>
        <v>#VALUE!</v>
      </c>
      <c r="F191" s="7" t="e">
        <f t="shared" si="60"/>
        <v>#VALUE!</v>
      </c>
      <c r="G191" s="7" t="e">
        <f t="shared" si="60"/>
        <v>#VALUE!</v>
      </c>
      <c r="H191" s="7" t="e">
        <f t="shared" si="60"/>
        <v>#VALUE!</v>
      </c>
      <c r="I191" s="7" t="e">
        <f t="shared" si="60"/>
        <v>#VALUE!</v>
      </c>
      <c r="J191" s="7" t="e">
        <f t="shared" si="60"/>
        <v>#VALUE!</v>
      </c>
      <c r="K191" s="7" t="e">
        <f t="shared" si="60"/>
        <v>#VALUE!</v>
      </c>
      <c r="L191" s="7" t="e">
        <f t="shared" si="60"/>
        <v>#VALUE!</v>
      </c>
      <c r="M191" s="7" t="e">
        <f t="shared" si="60"/>
        <v>#VALUE!</v>
      </c>
      <c r="N191" s="7" t="e">
        <f t="shared" si="60"/>
        <v>#VALUE!</v>
      </c>
      <c r="O191" s="7" t="e">
        <f t="shared" si="60"/>
        <v>#VALUE!</v>
      </c>
    </row>
    <row r="192" spans="1:15" x14ac:dyDescent="0.3">
      <c r="B192" t="str">
        <f t="shared" si="59"/>
        <v/>
      </c>
      <c r="C192" s="7" t="e">
        <f t="shared" si="60"/>
        <v>#VALUE!</v>
      </c>
      <c r="D192" s="7" t="e">
        <f t="shared" si="60"/>
        <v>#VALUE!</v>
      </c>
      <c r="E192" s="7" t="e">
        <f t="shared" si="60"/>
        <v>#VALUE!</v>
      </c>
      <c r="F192" s="7" t="e">
        <f t="shared" si="60"/>
        <v>#VALUE!</v>
      </c>
      <c r="G192" s="7" t="e">
        <f t="shared" si="60"/>
        <v>#VALUE!</v>
      </c>
      <c r="H192" s="7" t="e">
        <f t="shared" si="60"/>
        <v>#VALUE!</v>
      </c>
      <c r="I192" s="7" t="e">
        <f t="shared" si="60"/>
        <v>#VALUE!</v>
      </c>
      <c r="J192" s="7" t="e">
        <f t="shared" si="60"/>
        <v>#VALUE!</v>
      </c>
      <c r="K192" s="7" t="e">
        <f t="shared" si="60"/>
        <v>#VALUE!</v>
      </c>
      <c r="L192" s="7" t="e">
        <f t="shared" si="60"/>
        <v>#VALUE!</v>
      </c>
      <c r="M192" s="7" t="e">
        <f t="shared" si="60"/>
        <v>#VALUE!</v>
      </c>
      <c r="N192" s="7" t="e">
        <f t="shared" si="60"/>
        <v>#VALUE!</v>
      </c>
      <c r="O192" s="7" t="e">
        <f t="shared" si="60"/>
        <v>#VALUE!</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0414187-dd76-4ef8-b04f-ccddae734140" xsi:nil="true"/>
    <lcf76f155ced4ddcb4097134ff3c332f xmlns="63768118-86e2-4829-8a12-b72c47658d02">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CB1C2B958A07241A317F5A881DFD30C" ma:contentTypeVersion="18" ma:contentTypeDescription="Create a new document." ma:contentTypeScope="" ma:versionID="ec29f518eb9a62149baea9c73f5411cd">
  <xsd:schema xmlns:xsd="http://www.w3.org/2001/XMLSchema" xmlns:xs="http://www.w3.org/2001/XMLSchema" xmlns:p="http://schemas.microsoft.com/office/2006/metadata/properties" xmlns:ns2="63768118-86e2-4829-8a12-b72c47658d02" xmlns:ns3="40414187-dd76-4ef8-b04f-ccddae734140" targetNamespace="http://schemas.microsoft.com/office/2006/metadata/properties" ma:root="true" ma:fieldsID="29f6242226419d82ce7554acb1ee2c31" ns2:_="" ns3:_="">
    <xsd:import namespace="63768118-86e2-4829-8a12-b72c47658d02"/>
    <xsd:import namespace="40414187-dd76-4ef8-b04f-ccddae734140"/>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DateTaken" minOccurs="0"/>
                <xsd:element ref="ns2:MediaServiceLocation"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768118-86e2-4829-8a12-b72c47658d0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646cb916-533d-4f5b-b218-16d8f398120d" ma:termSetId="09814cd3-568e-fe90-9814-8d621ff8fb84" ma:anchorId="fba54fb3-c3e1-fe81-a776-ca4b69148c4d" ma:open="true" ma:isKeyword="false">
      <xsd:complexType>
        <xsd:sequence>
          <xsd:element ref="pc:Terms" minOccurs="0" maxOccurs="1"/>
        </xsd:sequence>
      </xsd:complexType>
    </xsd:element>
    <xsd:element name="MediaServiceDateTaken" ma:index="21" nillable="true" ma:displayName="MediaServiceDateTaken" ma:hidden="true" ma:internalName="MediaServiceDateTaken" ma:readOnly="true">
      <xsd:simpleType>
        <xsd:restriction base="dms:Text"/>
      </xsd:simpleType>
    </xsd:element>
    <xsd:element name="MediaServiceLocation" ma:index="22" nillable="true" ma:displayName="Location" ma:internalName="MediaServiceLocation"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LengthInSeconds" ma:index="25"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0414187-dd76-4ef8-b04f-ccddae73414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8af2f6a2-d75c-4e6a-918f-c8e2e64599b7}" ma:internalName="TaxCatchAll" ma:showField="CatchAllData" ma:web="40414187-dd76-4ef8-b04f-ccddae73414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22B901F-990E-42DA-ADE4-57DB39975034}">
  <ds:schemaRefs>
    <ds:schemaRef ds:uri="http://www.w3.org/XML/1998/namespace"/>
    <ds:schemaRef ds:uri="http://purl.org/dc/elements/1.1/"/>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dcmitype/"/>
    <ds:schemaRef ds:uri="40414187-dd76-4ef8-b04f-ccddae734140"/>
    <ds:schemaRef ds:uri="63768118-86e2-4829-8a12-b72c47658d02"/>
    <ds:schemaRef ds:uri="http://schemas.microsoft.com/office/2006/metadata/properties"/>
  </ds:schemaRefs>
</ds:datastoreItem>
</file>

<file path=customXml/itemProps2.xml><?xml version="1.0" encoding="utf-8"?>
<ds:datastoreItem xmlns:ds="http://schemas.openxmlformats.org/officeDocument/2006/customXml" ds:itemID="{39D81A66-A75A-47B5-BA36-2C238A61A77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3768118-86e2-4829-8a12-b72c47658d02"/>
    <ds:schemaRef ds:uri="40414187-dd76-4ef8-b04f-ccddae73414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B8F0A99-8ADB-4CB1-8CEF-907BB11E222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Calculos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Felipe Garcia</dc:creator>
  <cp:keywords/>
  <dc:description/>
  <cp:lastModifiedBy>Felipe Garcia</cp:lastModifiedBy>
  <cp:revision/>
  <dcterms:created xsi:type="dcterms:W3CDTF">2015-06-05T18:17:20Z</dcterms:created>
  <dcterms:modified xsi:type="dcterms:W3CDTF">2026-10-01T23:07:02Z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0x010100CCB1C2B958A07241A317F5A881DFD30C</vt:lpwstr>
  </property>
  <property fmtid="{D5CDD505-2E9C-101B-9397-08002B2CF9AE}" pid="3" name="MediaServiceImageTags">
    <vt:lpwstr/>
  </property>
</Properties>
</file>